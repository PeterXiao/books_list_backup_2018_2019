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0_ncr:100000_{E30780C4-D465-4BEF-ADCC-8C2E1CF99D81}" xr6:coauthVersionLast="31" xr6:coauthVersionMax="31" xr10:uidLastSave="{00000000-0000-0000-0000-000000000000}"/>
  <workbookProtection workbookAlgorithmName="SHA-512" workbookHashValue="+Ez+29w3c2Iz/FjG45T7POad7rqT8peJf4GEMaDpuuSmGBct7uETBTkM5USUVcGoPJ5OhWxofnrhYsJgRzXuBw==" workbookSaltValue="YUWHaDDaSnGH4l0/5w6CNA==" workbookSpinCount="100000" lockStructure="1"/>
  <bookViews>
    <workbookView xWindow="0" yWindow="0" windowWidth="23040" windowHeight="10305" activeTab="2" xr2:uid="{30DF1C48-B9CD-43AE-BC0D-1EC12C6D8F27}"/>
  </bookViews>
  <sheets>
    <sheet name="学习视频" sheetId="22" r:id="rId1"/>
    <sheet name="销售数据" sheetId="15" r:id="rId2"/>
    <sheet name="时间序列预测工具" sheetId="12" r:id="rId3"/>
    <sheet name="汇总" sheetId="16" r:id="rId4"/>
    <sheet name="东区" sheetId="18" r:id="rId5"/>
    <sheet name="南区" sheetId="19" r:id="rId6"/>
    <sheet name="西区" sheetId="20" r:id="rId7"/>
    <sheet name="北区" sheetId="21" r:id="rId8"/>
  </sheets>
  <functionGroups builtInGroupCount="19"/>
  <externalReferences>
    <externalReference r:id="rId9"/>
  </externalReferences>
  <definedNames>
    <definedName name="_xlnm._FilterDatabase" localSheetId="1" hidden="1">销售数据!$A$1:$C$281</definedName>
    <definedName name="Actual" localSheetId="0">OFFSET([1]时间序列预测工具!$D$9,,,[1]时间序列预测工具!$C$4+[1]时间序列预测工具!$C$5)</definedName>
    <definedName name="Actual">OFFSET(时间序列预测工具!$D$9,,,时间序列预测工具!$C$4+时间序列预测工具!$C$5)</definedName>
    <definedName name="Forcast" localSheetId="0">OFFSET([1]时间序列预测工具!$K$9,,,[1]时间序列预测工具!$C$4+[1]时间序列预测工具!$C$5)</definedName>
    <definedName name="Forcast">OFFSET(时间序列预测工具!$K$9,,,时间序列预测工具!$C$4+时间序列预测工具!$C$5)</definedName>
    <definedName name="xlable" localSheetId="0">OFFSET([1]时间序列预测工具!$J$9,,,[1]时间序列预测工具!$C$4+[1]时间序列预测工具!$C$5)</definedName>
    <definedName name="xlable">OFFSET(时间序列预测工具!$J$9,,,时间序列预测工具!$C$4+时间序列预测工具!$C$5)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22" l="1"/>
  <c r="D17" i="22"/>
  <c r="D16" i="22"/>
  <c r="D15" i="22"/>
  <c r="D14" i="22"/>
  <c r="I16" i="20" l="1"/>
  <c r="I16" i="18"/>
  <c r="I16" i="19"/>
  <c r="D13" i="22" l="1"/>
  <c r="D12" i="22"/>
  <c r="D11" i="22"/>
  <c r="D10" i="22"/>
  <c r="D9" i="22"/>
  <c r="D8" i="22"/>
  <c r="D7" i="22"/>
  <c r="D6" i="22"/>
  <c r="D5" i="22"/>
  <c r="C15" i="21" l="1"/>
  <c r="C14" i="21"/>
  <c r="D13" i="21"/>
  <c r="C13" i="21"/>
  <c r="D12" i="21"/>
  <c r="C12" i="21"/>
  <c r="D11" i="2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D4" i="21"/>
  <c r="C4" i="21"/>
  <c r="C15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4" i="20"/>
  <c r="C4" i="20"/>
  <c r="C15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4" i="19"/>
  <c r="C4" i="19"/>
  <c r="D13" i="18"/>
  <c r="D12" i="18"/>
  <c r="D11" i="18"/>
  <c r="D10" i="18"/>
  <c r="D9" i="18"/>
  <c r="D8" i="18"/>
  <c r="D7" i="18"/>
  <c r="D6" i="18"/>
  <c r="D5" i="18"/>
  <c r="D4" i="18"/>
  <c r="C4" i="18"/>
  <c r="C15" i="18"/>
  <c r="C14" i="18"/>
  <c r="C13" i="18"/>
  <c r="C12" i="18"/>
  <c r="C11" i="18"/>
  <c r="C10" i="18"/>
  <c r="C9" i="18"/>
  <c r="C8" i="18"/>
  <c r="C7" i="18"/>
  <c r="C6" i="18"/>
  <c r="C5" i="18"/>
  <c r="C16" i="21" l="1"/>
  <c r="C16" i="20"/>
  <c r="C16" i="19"/>
  <c r="C16" i="18"/>
  <c r="N5" i="16"/>
  <c r="N6" i="16"/>
  <c r="N7" i="16"/>
  <c r="N8" i="16"/>
  <c r="N9" i="16"/>
  <c r="N10" i="16"/>
  <c r="N11" i="16"/>
  <c r="N12" i="16"/>
  <c r="N13" i="16"/>
  <c r="N4" i="16"/>
  <c r="M4" i="16"/>
  <c r="M5" i="16"/>
  <c r="M6" i="16"/>
  <c r="M7" i="16"/>
  <c r="M8" i="16"/>
  <c r="M9" i="16"/>
  <c r="M10" i="16"/>
  <c r="M11" i="16"/>
  <c r="M12" i="16"/>
  <c r="M13" i="16"/>
  <c r="L13" i="16"/>
  <c r="K13" i="16"/>
  <c r="J13" i="16"/>
  <c r="I13" i="16"/>
  <c r="L12" i="16"/>
  <c r="K12" i="16"/>
  <c r="J12" i="16"/>
  <c r="I12" i="16"/>
  <c r="L11" i="16"/>
  <c r="K11" i="16"/>
  <c r="J11" i="16"/>
  <c r="I11" i="16"/>
  <c r="L10" i="16"/>
  <c r="K10" i="16"/>
  <c r="J10" i="16"/>
  <c r="I10" i="16"/>
  <c r="L9" i="16"/>
  <c r="K9" i="16"/>
  <c r="J9" i="16"/>
  <c r="I9" i="16"/>
  <c r="L8" i="16"/>
  <c r="K8" i="16"/>
  <c r="J8" i="16"/>
  <c r="I8" i="16"/>
  <c r="L7" i="16"/>
  <c r="K7" i="16"/>
  <c r="J7" i="16"/>
  <c r="I7" i="16"/>
  <c r="L6" i="16"/>
  <c r="K6" i="16"/>
  <c r="J6" i="16"/>
  <c r="I6" i="16"/>
  <c r="L5" i="16"/>
  <c r="K5" i="16"/>
  <c r="J5" i="16"/>
  <c r="I5" i="16"/>
  <c r="L4" i="16"/>
  <c r="K4" i="16"/>
  <c r="J4" i="16"/>
  <c r="I4" i="16"/>
  <c r="C16" i="16"/>
  <c r="G16" i="16" s="1"/>
  <c r="D16" i="16"/>
  <c r="E16" i="16"/>
  <c r="F16" i="16"/>
  <c r="G4" i="16"/>
  <c r="G5" i="16"/>
  <c r="G6" i="16"/>
  <c r="G7" i="16"/>
  <c r="G8" i="16"/>
  <c r="G9" i="16"/>
  <c r="G10" i="16"/>
  <c r="G11" i="16"/>
  <c r="G12" i="16"/>
  <c r="G13" i="16"/>
  <c r="G14" i="16"/>
  <c r="G15" i="16"/>
  <c r="F15" i="16"/>
  <c r="E15" i="16"/>
  <c r="D15" i="16"/>
  <c r="C15" i="16"/>
  <c r="F14" i="16"/>
  <c r="E14" i="16"/>
  <c r="D14" i="16"/>
  <c r="C14" i="16"/>
  <c r="F13" i="16"/>
  <c r="E13" i="16"/>
  <c r="D13" i="16"/>
  <c r="C13" i="16"/>
  <c r="F12" i="16"/>
  <c r="E12" i="16"/>
  <c r="D12" i="16"/>
  <c r="C12" i="16"/>
  <c r="F11" i="16"/>
  <c r="E11" i="16"/>
  <c r="D11" i="16"/>
  <c r="C11" i="16"/>
  <c r="F10" i="16"/>
  <c r="E10" i="16"/>
  <c r="D10" i="16"/>
  <c r="C10" i="16"/>
  <c r="F9" i="16"/>
  <c r="E9" i="16"/>
  <c r="D9" i="16"/>
  <c r="C9" i="16"/>
  <c r="F8" i="16"/>
  <c r="E8" i="16"/>
  <c r="D8" i="16"/>
  <c r="C8" i="16"/>
  <c r="F7" i="16"/>
  <c r="E7" i="16"/>
  <c r="D7" i="16"/>
  <c r="C7" i="16"/>
  <c r="F6" i="16"/>
  <c r="E6" i="16"/>
  <c r="D6" i="16"/>
  <c r="C6" i="16"/>
  <c r="F5" i="16"/>
  <c r="E5" i="16"/>
  <c r="D5" i="16"/>
  <c r="C5" i="16"/>
  <c r="F4" i="16"/>
  <c r="E4" i="16"/>
  <c r="D4" i="16"/>
  <c r="C4" i="16"/>
  <c r="D10" i="12" l="1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9" i="12"/>
  <c r="C10" i="12" l="1"/>
  <c r="C11" i="12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09" i="12" s="1"/>
  <c r="C110" i="12" s="1"/>
  <c r="C111" i="12" s="1"/>
  <c r="C112" i="12" s="1"/>
  <c r="C113" i="12" s="1"/>
  <c r="C114" i="12" s="1"/>
  <c r="C115" i="12" s="1"/>
  <c r="C116" i="12" s="1"/>
  <c r="C117" i="12" s="1"/>
  <c r="C118" i="12" s="1"/>
  <c r="C119" i="12" s="1"/>
  <c r="C120" i="12" s="1"/>
  <c r="C121" i="12" s="1"/>
  <c r="C122" i="12" s="1"/>
  <c r="C123" i="12" s="1"/>
  <c r="C124" i="12" s="1"/>
  <c r="C125" i="12" s="1"/>
  <c r="C126" i="12" s="1"/>
  <c r="C127" i="12" s="1"/>
  <c r="C128" i="12" s="1"/>
  <c r="J9" i="12" l="1"/>
  <c r="F128" i="12" l="1"/>
  <c r="G128" i="12" s="1"/>
  <c r="F127" i="12"/>
  <c r="G127" i="12" s="1"/>
  <c r="F126" i="12"/>
  <c r="G126" i="12" s="1"/>
  <c r="F125" i="12"/>
  <c r="G125" i="12" s="1"/>
  <c r="F124" i="12"/>
  <c r="G124" i="12" s="1"/>
  <c r="F123" i="12"/>
  <c r="G123" i="12" s="1"/>
  <c r="F122" i="12"/>
  <c r="G122" i="12" s="1"/>
  <c r="F121" i="12"/>
  <c r="G121" i="12" s="1"/>
  <c r="F120" i="12"/>
  <c r="G120" i="12" s="1"/>
  <c r="F119" i="12"/>
  <c r="G119" i="12" s="1"/>
  <c r="F118" i="12"/>
  <c r="G118" i="12" s="1"/>
  <c r="F117" i="12"/>
  <c r="G117" i="12" s="1"/>
  <c r="F116" i="12"/>
  <c r="G116" i="12" s="1"/>
  <c r="F115" i="12"/>
  <c r="G115" i="12" s="1"/>
  <c r="F114" i="12"/>
  <c r="G114" i="12" s="1"/>
  <c r="F113" i="12"/>
  <c r="G113" i="12" s="1"/>
  <c r="F112" i="12"/>
  <c r="G112" i="12" s="1"/>
  <c r="F111" i="12"/>
  <c r="G111" i="12" s="1"/>
  <c r="F110" i="12"/>
  <c r="G110" i="12" s="1"/>
  <c r="F109" i="12"/>
  <c r="G109" i="12" s="1"/>
  <c r="F108" i="12"/>
  <c r="G108" i="12" s="1"/>
  <c r="F107" i="12"/>
  <c r="G107" i="12" s="1"/>
  <c r="F106" i="12"/>
  <c r="G106" i="12" s="1"/>
  <c r="F105" i="12"/>
  <c r="G105" i="12" s="1"/>
  <c r="F104" i="12"/>
  <c r="G104" i="12" s="1"/>
  <c r="F103" i="12"/>
  <c r="G103" i="12" s="1"/>
  <c r="F102" i="12"/>
  <c r="G102" i="12" s="1"/>
  <c r="F101" i="12"/>
  <c r="G101" i="12" s="1"/>
  <c r="F100" i="12"/>
  <c r="G100" i="12" s="1"/>
  <c r="F99" i="12"/>
  <c r="G99" i="12" s="1"/>
  <c r="F98" i="12"/>
  <c r="G98" i="12" s="1"/>
  <c r="F97" i="12"/>
  <c r="G97" i="12" s="1"/>
  <c r="F96" i="12"/>
  <c r="G96" i="12" s="1"/>
  <c r="F95" i="12"/>
  <c r="G95" i="12" s="1"/>
  <c r="F94" i="12"/>
  <c r="G94" i="12" s="1"/>
  <c r="F93" i="12"/>
  <c r="G93" i="12" s="1"/>
  <c r="F92" i="12"/>
  <c r="G92" i="12" s="1"/>
  <c r="F91" i="12"/>
  <c r="G91" i="12" s="1"/>
  <c r="F90" i="12"/>
  <c r="G90" i="12" s="1"/>
  <c r="F89" i="12"/>
  <c r="G89" i="12" s="1"/>
  <c r="F88" i="12"/>
  <c r="G88" i="12" s="1"/>
  <c r="F87" i="12"/>
  <c r="G87" i="12" s="1"/>
  <c r="F86" i="12"/>
  <c r="G86" i="12" s="1"/>
  <c r="F85" i="12"/>
  <c r="G85" i="12" s="1"/>
  <c r="F84" i="12"/>
  <c r="G84" i="12" s="1"/>
  <c r="F83" i="12"/>
  <c r="G83" i="12" s="1"/>
  <c r="F82" i="12"/>
  <c r="G82" i="12" s="1"/>
  <c r="F81" i="12"/>
  <c r="G81" i="12" s="1"/>
  <c r="F80" i="12"/>
  <c r="G80" i="12" s="1"/>
  <c r="F79" i="12"/>
  <c r="G79" i="12" s="1"/>
  <c r="F10" i="12"/>
  <c r="G10" i="12" s="1"/>
  <c r="F9" i="12"/>
  <c r="G9" i="12" s="1"/>
  <c r="F12" i="12" l="1"/>
  <c r="G12" i="12" s="1"/>
  <c r="F11" i="12"/>
  <c r="G11" i="12" s="1"/>
  <c r="J10" i="12"/>
  <c r="F13" i="12" l="1"/>
  <c r="G13" i="12" s="1"/>
  <c r="F14" i="12" l="1"/>
  <c r="G14" i="12" s="1"/>
  <c r="J12" i="12"/>
  <c r="J11" i="12"/>
  <c r="J13" i="12"/>
  <c r="J14" i="12" l="1"/>
  <c r="F15" i="12" l="1"/>
  <c r="G15" i="12" s="1"/>
  <c r="J15" i="12"/>
  <c r="F16" i="12" l="1"/>
  <c r="G16" i="12" s="1"/>
  <c r="J16" i="12"/>
  <c r="F17" i="12" l="1"/>
  <c r="G17" i="12" s="1"/>
  <c r="J17" i="12"/>
  <c r="F18" i="12" l="1"/>
  <c r="G18" i="12" s="1"/>
  <c r="J18" i="12"/>
  <c r="F19" i="12" l="1"/>
  <c r="G19" i="12" s="1"/>
  <c r="J19" i="12"/>
  <c r="F20" i="12" l="1"/>
  <c r="G20" i="12" s="1"/>
  <c r="J20" i="12"/>
  <c r="F21" i="12" l="1"/>
  <c r="G21" i="12" s="1"/>
  <c r="J21" i="12"/>
  <c r="F22" i="12" l="1"/>
  <c r="G22" i="12" s="1"/>
  <c r="J22" i="12"/>
  <c r="F23" i="12" l="1"/>
  <c r="G23" i="12" s="1"/>
  <c r="J23" i="12"/>
  <c r="F24" i="12" l="1"/>
  <c r="G24" i="12" s="1"/>
  <c r="J24" i="12"/>
  <c r="F25" i="12" l="1"/>
  <c r="G25" i="12" s="1"/>
  <c r="J25" i="12"/>
  <c r="F26" i="12" l="1"/>
  <c r="G26" i="12" s="1"/>
  <c r="J26" i="12"/>
  <c r="F27" i="12" l="1"/>
  <c r="G27" i="12" s="1"/>
  <c r="J27" i="12"/>
  <c r="F28" i="12" l="1"/>
  <c r="G28" i="12" s="1"/>
  <c r="J28" i="12"/>
  <c r="F29" i="12" l="1"/>
  <c r="G29" i="12" s="1"/>
  <c r="J29" i="12"/>
  <c r="F30" i="12" l="1"/>
  <c r="G30" i="12" s="1"/>
  <c r="J30" i="12"/>
  <c r="F31" i="12" l="1"/>
  <c r="G31" i="12" s="1"/>
  <c r="J31" i="12"/>
  <c r="F32" i="12" l="1"/>
  <c r="G32" i="12" s="1"/>
  <c r="J32" i="12"/>
  <c r="F33" i="12" l="1"/>
  <c r="G33" i="12" s="1"/>
  <c r="J33" i="12"/>
  <c r="F34" i="12" l="1"/>
  <c r="G34" i="12" s="1"/>
  <c r="J34" i="12"/>
  <c r="F35" i="12" l="1"/>
  <c r="G35" i="12" s="1"/>
  <c r="J35" i="12"/>
  <c r="F36" i="12" l="1"/>
  <c r="G36" i="12" s="1"/>
  <c r="J36" i="12"/>
  <c r="F37" i="12" l="1"/>
  <c r="G37" i="12" s="1"/>
  <c r="J37" i="12"/>
  <c r="F38" i="12" l="1"/>
  <c r="G38" i="12" s="1"/>
  <c r="J38" i="12"/>
  <c r="F39" i="12" l="1"/>
  <c r="G39" i="12" s="1"/>
  <c r="J39" i="12"/>
  <c r="F40" i="12" l="1"/>
  <c r="G40" i="12" s="1"/>
  <c r="J40" i="12"/>
  <c r="F41" i="12" l="1"/>
  <c r="G41" i="12" s="1"/>
  <c r="J41" i="12"/>
  <c r="F42" i="12" l="1"/>
  <c r="G42" i="12" s="1"/>
  <c r="J42" i="12"/>
  <c r="F43" i="12" l="1"/>
  <c r="G43" i="12" s="1"/>
  <c r="J43" i="12"/>
  <c r="F44" i="12" l="1"/>
  <c r="G44" i="12" s="1"/>
  <c r="J44" i="12"/>
  <c r="F45" i="12" l="1"/>
  <c r="G45" i="12" s="1"/>
  <c r="J45" i="12"/>
  <c r="F46" i="12" l="1"/>
  <c r="G46" i="12" s="1"/>
  <c r="J46" i="12"/>
  <c r="F47" i="12" l="1"/>
  <c r="G47" i="12" s="1"/>
  <c r="J47" i="12"/>
  <c r="F48" i="12" l="1"/>
  <c r="G48" i="12" s="1"/>
  <c r="J48" i="12"/>
  <c r="F49" i="12" l="1"/>
  <c r="G49" i="12" s="1"/>
  <c r="J49" i="12"/>
  <c r="F50" i="12" l="1"/>
  <c r="G50" i="12" s="1"/>
  <c r="J50" i="12"/>
  <c r="F51" i="12" l="1"/>
  <c r="G51" i="12" s="1"/>
  <c r="J51" i="12"/>
  <c r="F52" i="12" l="1"/>
  <c r="G52" i="12" s="1"/>
  <c r="J52" i="12"/>
  <c r="F53" i="12" l="1"/>
  <c r="G53" i="12" s="1"/>
  <c r="J53" i="12"/>
  <c r="F54" i="12" l="1"/>
  <c r="G54" i="12" s="1"/>
  <c r="J54" i="12"/>
  <c r="F55" i="12" l="1"/>
  <c r="G55" i="12" s="1"/>
  <c r="J55" i="12"/>
  <c r="F56" i="12" l="1"/>
  <c r="G56" i="12" s="1"/>
  <c r="J56" i="12"/>
  <c r="F57" i="12" l="1"/>
  <c r="G57" i="12" s="1"/>
  <c r="J57" i="12"/>
  <c r="F58" i="12" l="1"/>
  <c r="G58" i="12" s="1"/>
  <c r="J58" i="12"/>
  <c r="F59" i="12" l="1"/>
  <c r="G59" i="12" s="1"/>
  <c r="J59" i="12"/>
  <c r="F60" i="12" l="1"/>
  <c r="G60" i="12" s="1"/>
  <c r="J60" i="12"/>
  <c r="F61" i="12" l="1"/>
  <c r="G61" i="12" s="1"/>
  <c r="J61" i="12"/>
  <c r="F62" i="12" l="1"/>
  <c r="G62" i="12" s="1"/>
  <c r="J62" i="12"/>
  <c r="F63" i="12" l="1"/>
  <c r="G63" i="12" s="1"/>
  <c r="J63" i="12"/>
  <c r="F64" i="12" l="1"/>
  <c r="G64" i="12" s="1"/>
  <c r="J64" i="12"/>
  <c r="F65" i="12" l="1"/>
  <c r="G65" i="12" s="1"/>
  <c r="J65" i="12"/>
  <c r="F66" i="12" l="1"/>
  <c r="G66" i="12" s="1"/>
  <c r="J66" i="12"/>
  <c r="F67" i="12" l="1"/>
  <c r="G67" i="12" s="1"/>
  <c r="J67" i="12"/>
  <c r="F68" i="12" l="1"/>
  <c r="G68" i="12" s="1"/>
  <c r="J68" i="12"/>
  <c r="F69" i="12" l="1"/>
  <c r="G69" i="12" s="1"/>
  <c r="J69" i="12"/>
  <c r="F70" i="12" l="1"/>
  <c r="G70" i="12" s="1"/>
  <c r="J70" i="12"/>
  <c r="F71" i="12" l="1"/>
  <c r="G71" i="12" s="1"/>
  <c r="J71" i="12"/>
  <c r="F72" i="12" l="1"/>
  <c r="G72" i="12" s="1"/>
  <c r="J72" i="12"/>
  <c r="F73" i="12" l="1"/>
  <c r="G73" i="12" s="1"/>
  <c r="J73" i="12"/>
  <c r="F74" i="12" l="1"/>
  <c r="G74" i="12" s="1"/>
  <c r="J74" i="12"/>
  <c r="F75" i="12" l="1"/>
  <c r="G75" i="12" s="1"/>
  <c r="J75" i="12"/>
  <c r="F76" i="12" l="1"/>
  <c r="G76" i="12" s="1"/>
  <c r="J76" i="12"/>
  <c r="F77" i="12" l="1"/>
  <c r="G77" i="12" s="1"/>
  <c r="J77" i="12"/>
  <c r="F78" i="12" l="1"/>
  <c r="G78" i="12" s="1"/>
  <c r="C4" i="12"/>
  <c r="J78" i="12"/>
  <c r="K77" i="12" l="1"/>
  <c r="K41" i="12"/>
  <c r="K58" i="12"/>
  <c r="T5" i="12"/>
  <c r="K37" i="12"/>
  <c r="K54" i="12"/>
  <c r="K42" i="12"/>
  <c r="K66" i="12"/>
  <c r="R5" i="12" a="1"/>
  <c r="K74" i="12"/>
  <c r="T6" i="12"/>
  <c r="K44" i="12"/>
  <c r="K49" i="12"/>
  <c r="K78" i="12"/>
  <c r="K55" i="12"/>
  <c r="K45" i="12"/>
  <c r="K53" i="12"/>
  <c r="K65" i="12"/>
  <c r="K35" i="12"/>
  <c r="K61" i="12"/>
  <c r="K43" i="12"/>
  <c r="K34" i="12"/>
  <c r="K56" i="12"/>
  <c r="K47" i="12"/>
  <c r="K73" i="12"/>
  <c r="K67" i="12"/>
  <c r="K46" i="12"/>
  <c r="K40" i="12"/>
  <c r="K71" i="12"/>
  <c r="K38" i="12"/>
  <c r="K68" i="12"/>
  <c r="K52" i="12"/>
  <c r="K76" i="12"/>
  <c r="K59" i="12"/>
  <c r="K33" i="12"/>
  <c r="K69" i="12"/>
  <c r="K60" i="12"/>
  <c r="K75" i="12"/>
  <c r="K50" i="12"/>
  <c r="K64" i="12"/>
  <c r="K57" i="12"/>
  <c r="K36" i="12"/>
  <c r="K62" i="12"/>
  <c r="K39" i="12"/>
  <c r="K51" i="12"/>
  <c r="K63" i="12"/>
  <c r="K72" i="12"/>
  <c r="R6" i="12" a="1"/>
  <c r="K48" i="12"/>
  <c r="K70" i="12"/>
  <c r="J79" i="12"/>
  <c r="K6" i="12" l="1"/>
  <c r="R5" i="12"/>
  <c r="S5" i="12"/>
  <c r="R6" i="12"/>
  <c r="S6" i="12"/>
  <c r="J80" i="12"/>
  <c r="I10" i="12" l="1"/>
  <c r="K10" i="12" s="1"/>
  <c r="I12" i="12"/>
  <c r="K12" i="12" s="1"/>
  <c r="I11" i="12"/>
  <c r="K11" i="12" s="1"/>
  <c r="I9" i="12"/>
  <c r="K9" i="12" s="1"/>
  <c r="I13" i="12"/>
  <c r="K13" i="12" s="1"/>
  <c r="I14" i="12"/>
  <c r="K14" i="12" s="1"/>
  <c r="I15" i="12"/>
  <c r="K15" i="12" s="1"/>
  <c r="I16" i="12"/>
  <c r="K16" i="12" s="1"/>
  <c r="I17" i="12"/>
  <c r="K17" i="12" s="1"/>
  <c r="I18" i="12"/>
  <c r="K18" i="12" s="1"/>
  <c r="I19" i="12"/>
  <c r="K19" i="12" s="1"/>
  <c r="I20" i="12"/>
  <c r="K20" i="12" s="1"/>
  <c r="I21" i="12"/>
  <c r="K21" i="12" s="1"/>
  <c r="I22" i="12"/>
  <c r="K22" i="12" s="1"/>
  <c r="I23" i="12"/>
  <c r="K23" i="12" s="1"/>
  <c r="I24" i="12"/>
  <c r="K24" i="12" s="1"/>
  <c r="I25" i="12"/>
  <c r="K25" i="12" s="1"/>
  <c r="I26" i="12"/>
  <c r="K26" i="12" s="1"/>
  <c r="I27" i="12"/>
  <c r="K27" i="12" s="1"/>
  <c r="I28" i="12"/>
  <c r="K28" i="12" s="1"/>
  <c r="I29" i="12"/>
  <c r="K29" i="12" s="1"/>
  <c r="I30" i="12"/>
  <c r="K30" i="12" s="1"/>
  <c r="I31" i="12"/>
  <c r="K31" i="12" s="1"/>
  <c r="I32" i="12"/>
  <c r="K32" i="12" s="1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H11" i="12"/>
  <c r="H13" i="12"/>
  <c r="H10" i="12"/>
  <c r="H12" i="12"/>
  <c r="H9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I83" i="12"/>
  <c r="K83" i="12" s="1"/>
  <c r="T6" i="16" s="1"/>
  <c r="U6" i="16" s="1"/>
  <c r="I92" i="12"/>
  <c r="K92" i="12" s="1"/>
  <c r="T15" i="16" s="1"/>
  <c r="I123" i="12"/>
  <c r="K123" i="12" s="1"/>
  <c r="I124" i="12"/>
  <c r="K124" i="12" s="1"/>
  <c r="I89" i="12"/>
  <c r="K89" i="12" s="1"/>
  <c r="T12" i="16" s="1"/>
  <c r="U12" i="16" s="1"/>
  <c r="I80" i="12"/>
  <c r="K80" i="12" s="1"/>
  <c r="M15" i="16" s="1"/>
  <c r="I126" i="12"/>
  <c r="K126" i="12" s="1"/>
  <c r="I128" i="12"/>
  <c r="K128" i="12" s="1"/>
  <c r="I100" i="12"/>
  <c r="K100" i="12" s="1"/>
  <c r="I109" i="12"/>
  <c r="K109" i="12" s="1"/>
  <c r="I82" i="12"/>
  <c r="K82" i="12" s="1"/>
  <c r="T5" i="16" s="1"/>
  <c r="U5" i="16" s="1"/>
  <c r="I116" i="12"/>
  <c r="K116" i="12" s="1"/>
  <c r="I112" i="12"/>
  <c r="K112" i="12" s="1"/>
  <c r="I117" i="12"/>
  <c r="K117" i="12" s="1"/>
  <c r="I103" i="12"/>
  <c r="K103" i="12" s="1"/>
  <c r="I93" i="12"/>
  <c r="K93" i="12" s="1"/>
  <c r="I79" i="12"/>
  <c r="K79" i="12" s="1"/>
  <c r="M14" i="16" s="1"/>
  <c r="I91" i="12"/>
  <c r="K91" i="12" s="1"/>
  <c r="T14" i="16" s="1"/>
  <c r="I90" i="12"/>
  <c r="K90" i="12" s="1"/>
  <c r="T13" i="16" s="1"/>
  <c r="U13" i="16" s="1"/>
  <c r="I113" i="12"/>
  <c r="K113" i="12" s="1"/>
  <c r="I114" i="12"/>
  <c r="K114" i="12" s="1"/>
  <c r="I125" i="12"/>
  <c r="K125" i="12" s="1"/>
  <c r="I105" i="12"/>
  <c r="K105" i="12" s="1"/>
  <c r="I104" i="12"/>
  <c r="K104" i="12" s="1"/>
  <c r="I107" i="12"/>
  <c r="K107" i="12" s="1"/>
  <c r="I120" i="12"/>
  <c r="K120" i="12" s="1"/>
  <c r="I81" i="12"/>
  <c r="K81" i="12" s="1"/>
  <c r="T4" i="16" s="1"/>
  <c r="I99" i="12"/>
  <c r="K99" i="12" s="1"/>
  <c r="I86" i="12"/>
  <c r="K86" i="12" s="1"/>
  <c r="T9" i="16" s="1"/>
  <c r="U9" i="16" s="1"/>
  <c r="I121" i="12"/>
  <c r="K121" i="12" s="1"/>
  <c r="I88" i="12"/>
  <c r="K88" i="12" s="1"/>
  <c r="T11" i="16" s="1"/>
  <c r="U11" i="16" s="1"/>
  <c r="I119" i="12"/>
  <c r="K119" i="12" s="1"/>
  <c r="I94" i="12"/>
  <c r="K94" i="12" s="1"/>
  <c r="I108" i="12"/>
  <c r="K108" i="12" s="1"/>
  <c r="I102" i="12"/>
  <c r="K102" i="12" s="1"/>
  <c r="I115" i="12"/>
  <c r="K115" i="12" s="1"/>
  <c r="I98" i="12"/>
  <c r="K98" i="12" s="1"/>
  <c r="I97" i="12"/>
  <c r="K97" i="12" s="1"/>
  <c r="I106" i="12"/>
  <c r="K106" i="12" s="1"/>
  <c r="I84" i="12"/>
  <c r="K84" i="12" s="1"/>
  <c r="T7" i="16" s="1"/>
  <c r="U7" i="16" s="1"/>
  <c r="I87" i="12"/>
  <c r="K87" i="12" s="1"/>
  <c r="T10" i="16" s="1"/>
  <c r="U10" i="16" s="1"/>
  <c r="I127" i="12"/>
  <c r="K127" i="12" s="1"/>
  <c r="I111" i="12"/>
  <c r="K111" i="12" s="1"/>
  <c r="I122" i="12"/>
  <c r="K122" i="12" s="1"/>
  <c r="I85" i="12"/>
  <c r="K85" i="12" s="1"/>
  <c r="T8" i="16" s="1"/>
  <c r="U8" i="16" s="1"/>
  <c r="I95" i="12"/>
  <c r="K95" i="12" s="1"/>
  <c r="I110" i="12"/>
  <c r="K110" i="12" s="1"/>
  <c r="I118" i="12"/>
  <c r="K118" i="12" s="1"/>
  <c r="I96" i="12"/>
  <c r="K96" i="12" s="1"/>
  <c r="I101" i="12"/>
  <c r="K101" i="12" s="1"/>
  <c r="H125" i="12"/>
  <c r="H120" i="12"/>
  <c r="H92" i="12"/>
  <c r="H105" i="12"/>
  <c r="H83" i="12"/>
  <c r="H126" i="12"/>
  <c r="H98" i="12"/>
  <c r="H111" i="12"/>
  <c r="H85" i="12"/>
  <c r="H123" i="12"/>
  <c r="H97" i="12"/>
  <c r="H94" i="12"/>
  <c r="H89" i="12"/>
  <c r="H119" i="12"/>
  <c r="H104" i="12"/>
  <c r="H117" i="12"/>
  <c r="H95" i="12"/>
  <c r="H110" i="12"/>
  <c r="H113" i="12"/>
  <c r="H122" i="12"/>
  <c r="H128" i="12"/>
  <c r="H82" i="12"/>
  <c r="H101" i="12"/>
  <c r="H91" i="12"/>
  <c r="H116" i="12"/>
  <c r="H88" i="12"/>
  <c r="H100" i="12"/>
  <c r="H90" i="12"/>
  <c r="H109" i="12"/>
  <c r="H107" i="12"/>
  <c r="H106" i="12"/>
  <c r="H96" i="12"/>
  <c r="H115" i="12"/>
  <c r="H81" i="12"/>
  <c r="H80" i="12"/>
  <c r="H124" i="12"/>
  <c r="H86" i="12"/>
  <c r="H103" i="12"/>
  <c r="H112" i="12"/>
  <c r="H102" i="12"/>
  <c r="H121" i="12"/>
  <c r="H87" i="12"/>
  <c r="H114" i="12"/>
  <c r="H99" i="12"/>
  <c r="H84" i="12"/>
  <c r="H79" i="12"/>
  <c r="H118" i="12"/>
  <c r="H108" i="12"/>
  <c r="H127" i="12"/>
  <c r="H93" i="12"/>
  <c r="J81" i="12"/>
  <c r="N15" i="16" l="1"/>
  <c r="K15" i="16" s="1"/>
  <c r="U15" i="16"/>
  <c r="U14" i="16"/>
  <c r="U4" i="16"/>
  <c r="P4" i="16" s="1"/>
  <c r="T16" i="16"/>
  <c r="R9" i="16"/>
  <c r="Q9" i="16"/>
  <c r="F9" i="20" s="1"/>
  <c r="S9" i="16"/>
  <c r="P9" i="16"/>
  <c r="S7" i="16"/>
  <c r="R7" i="16"/>
  <c r="Q7" i="16"/>
  <c r="P7" i="16"/>
  <c r="S5" i="16"/>
  <c r="Q5" i="16"/>
  <c r="R5" i="16"/>
  <c r="P5" i="16"/>
  <c r="S6" i="16"/>
  <c r="R6" i="16"/>
  <c r="F6" i="21" s="1"/>
  <c r="Q6" i="16"/>
  <c r="F6" i="20" s="1"/>
  <c r="P6" i="16"/>
  <c r="S8" i="16"/>
  <c r="P8" i="16"/>
  <c r="R8" i="16"/>
  <c r="Q8" i="16"/>
  <c r="S11" i="16"/>
  <c r="Q11" i="16"/>
  <c r="R11" i="16"/>
  <c r="P11" i="16"/>
  <c r="S13" i="16"/>
  <c r="R13" i="16"/>
  <c r="F13" i="21" s="1"/>
  <c r="Q13" i="16"/>
  <c r="F13" i="20" s="1"/>
  <c r="P13" i="16"/>
  <c r="S10" i="16"/>
  <c r="R10" i="16"/>
  <c r="Q10" i="16"/>
  <c r="P10" i="16"/>
  <c r="R12" i="16"/>
  <c r="Q12" i="16"/>
  <c r="P12" i="16"/>
  <c r="S12" i="16"/>
  <c r="N14" i="16"/>
  <c r="I14" i="16" s="1"/>
  <c r="M16" i="16"/>
  <c r="J82" i="12"/>
  <c r="L15" i="16" l="1"/>
  <c r="S15" i="16" s="1"/>
  <c r="I15" i="16"/>
  <c r="J15" i="16"/>
  <c r="Q15" i="16" s="1"/>
  <c r="G6" i="20"/>
  <c r="M6" i="20" s="1"/>
  <c r="G13" i="20"/>
  <c r="M13" i="20" s="1"/>
  <c r="G6" i="21"/>
  <c r="N6" i="21" s="1"/>
  <c r="G13" i="21"/>
  <c r="N13" i="21" s="1"/>
  <c r="G9" i="20"/>
  <c r="N9" i="20" s="1"/>
  <c r="F8" i="20"/>
  <c r="F10" i="20"/>
  <c r="F8" i="21"/>
  <c r="F7" i="20"/>
  <c r="N16" i="16"/>
  <c r="F5" i="20"/>
  <c r="F12" i="21"/>
  <c r="F10" i="21"/>
  <c r="F7" i="21"/>
  <c r="F9" i="21"/>
  <c r="F11" i="21"/>
  <c r="F5" i="21"/>
  <c r="F12" i="20"/>
  <c r="D15" i="19"/>
  <c r="R15" i="16"/>
  <c r="F15" i="21" s="1"/>
  <c r="F11" i="20"/>
  <c r="D15" i="20"/>
  <c r="F13" i="18"/>
  <c r="F13" i="19"/>
  <c r="F9" i="18"/>
  <c r="F9" i="19"/>
  <c r="F10" i="18"/>
  <c r="F10" i="19"/>
  <c r="F8" i="18"/>
  <c r="F8" i="19"/>
  <c r="F11" i="18"/>
  <c r="F11" i="19"/>
  <c r="F5" i="18"/>
  <c r="F5" i="19"/>
  <c r="F12" i="18"/>
  <c r="F12" i="19"/>
  <c r="F4" i="18"/>
  <c r="F7" i="18"/>
  <c r="F7" i="19"/>
  <c r="F6" i="18"/>
  <c r="F6" i="19"/>
  <c r="P15" i="16"/>
  <c r="D15" i="18"/>
  <c r="P14" i="16"/>
  <c r="D14" i="18"/>
  <c r="R4" i="16"/>
  <c r="Q4" i="16"/>
  <c r="S4" i="16"/>
  <c r="U16" i="16"/>
  <c r="J14" i="16"/>
  <c r="K14" i="16"/>
  <c r="L14" i="16"/>
  <c r="S14" i="16" s="1"/>
  <c r="I16" i="16"/>
  <c r="J83" i="12"/>
  <c r="AK9" i="16"/>
  <c r="AF6" i="16"/>
  <c r="AQ6" i="16"/>
  <c r="AE9" i="16"/>
  <c r="AQ13" i="16"/>
  <c r="AF13" i="16"/>
  <c r="AK6" i="16"/>
  <c r="AL13" i="16"/>
  <c r="AK13" i="16"/>
  <c r="AL15" i="16"/>
  <c r="AL6" i="16"/>
  <c r="N6" i="20" l="1"/>
  <c r="N13" i="20"/>
  <c r="D15" i="21"/>
  <c r="G15" i="21" s="1"/>
  <c r="N15" i="21" s="1"/>
  <c r="M6" i="21"/>
  <c r="M13" i="21"/>
  <c r="G10" i="20"/>
  <c r="G8" i="20"/>
  <c r="G5" i="21"/>
  <c r="N5" i="21" s="1"/>
  <c r="J9" i="20"/>
  <c r="G11" i="21"/>
  <c r="N11" i="21" s="1"/>
  <c r="G9" i="19"/>
  <c r="N9" i="19" s="1"/>
  <c r="G9" i="21"/>
  <c r="M9" i="21" s="1"/>
  <c r="J13" i="21"/>
  <c r="G11" i="20"/>
  <c r="M11" i="20" s="1"/>
  <c r="G7" i="21"/>
  <c r="N7" i="21" s="1"/>
  <c r="G13" i="19"/>
  <c r="M13" i="19" s="1"/>
  <c r="G10" i="21"/>
  <c r="N10" i="21" s="1"/>
  <c r="J6" i="21"/>
  <c r="G12" i="19"/>
  <c r="N12" i="19" s="1"/>
  <c r="G12" i="21"/>
  <c r="N12" i="21" s="1"/>
  <c r="G5" i="19"/>
  <c r="N5" i="19" s="1"/>
  <c r="M9" i="20"/>
  <c r="G5" i="20"/>
  <c r="N5" i="20" s="1"/>
  <c r="J13" i="20"/>
  <c r="G12" i="20"/>
  <c r="N12" i="20" s="1"/>
  <c r="G8" i="19"/>
  <c r="N8" i="19" s="1"/>
  <c r="G6" i="19"/>
  <c r="N6" i="19" s="1"/>
  <c r="G11" i="19"/>
  <c r="N11" i="19" s="1"/>
  <c r="G10" i="19"/>
  <c r="N10" i="19" s="1"/>
  <c r="G7" i="20"/>
  <c r="J6" i="20"/>
  <c r="G7" i="19"/>
  <c r="N7" i="19" s="1"/>
  <c r="G8" i="21"/>
  <c r="N8" i="21" s="1"/>
  <c r="G11" i="18"/>
  <c r="N11" i="18" s="1"/>
  <c r="G5" i="18"/>
  <c r="N5" i="18" s="1"/>
  <c r="G8" i="18"/>
  <c r="N8" i="18" s="1"/>
  <c r="G12" i="18"/>
  <c r="N12" i="18" s="1"/>
  <c r="G6" i="18"/>
  <c r="M6" i="18" s="1"/>
  <c r="G10" i="18"/>
  <c r="M10" i="18" s="1"/>
  <c r="G7" i="18"/>
  <c r="N7" i="18" s="1"/>
  <c r="G9" i="18"/>
  <c r="N9" i="18" s="1"/>
  <c r="G13" i="18"/>
  <c r="N13" i="18" s="1"/>
  <c r="G4" i="18"/>
  <c r="M4" i="18" s="1"/>
  <c r="F4" i="21"/>
  <c r="F15" i="20"/>
  <c r="R14" i="16"/>
  <c r="F14" i="21" s="1"/>
  <c r="D14" i="21"/>
  <c r="D14" i="19"/>
  <c r="D16" i="19" s="1"/>
  <c r="D14" i="20"/>
  <c r="F4" i="19"/>
  <c r="F4" i="20"/>
  <c r="F14" i="18"/>
  <c r="F15" i="18"/>
  <c r="F15" i="19"/>
  <c r="P16" i="16"/>
  <c r="D16" i="18"/>
  <c r="S16" i="16"/>
  <c r="L16" i="16"/>
  <c r="K16" i="16"/>
  <c r="J16" i="16"/>
  <c r="Q14" i="16"/>
  <c r="F14" i="19" s="1"/>
  <c r="J84" i="12"/>
  <c r="AI8" i="16"/>
  <c r="AI9" i="16"/>
  <c r="AR6" i="16"/>
  <c r="AI4" i="16"/>
  <c r="AQ11" i="16"/>
  <c r="AE12" i="16"/>
  <c r="AL10" i="16"/>
  <c r="AL11" i="16"/>
  <c r="AF7" i="16"/>
  <c r="AE5" i="16"/>
  <c r="AI7" i="16"/>
  <c r="AK4" i="16"/>
  <c r="AJ11" i="16"/>
  <c r="AJ10" i="16"/>
  <c r="AD6" i="16"/>
  <c r="AC13" i="16"/>
  <c r="AF12" i="16"/>
  <c r="AC11" i="16"/>
  <c r="AK12" i="16"/>
  <c r="AI13" i="16"/>
  <c r="Z13" i="16"/>
  <c r="AI5" i="16"/>
  <c r="AO10" i="16"/>
  <c r="AJ6" i="16"/>
  <c r="AF11" i="16"/>
  <c r="AC9" i="16"/>
  <c r="AJ14" i="16"/>
  <c r="AE6" i="16"/>
  <c r="AE13" i="16"/>
  <c r="AJ5" i="16"/>
  <c r="AR13" i="16"/>
  <c r="AD5" i="16"/>
  <c r="AJ8" i="16"/>
  <c r="AF10" i="16"/>
  <c r="AJ13" i="16"/>
  <c r="AD12" i="16"/>
  <c r="AO4" i="16"/>
  <c r="AK8" i="16"/>
  <c r="AK10" i="16"/>
  <c r="AL8" i="16"/>
  <c r="AI10" i="16"/>
  <c r="AD7" i="16"/>
  <c r="AJ9" i="16"/>
  <c r="Z6" i="16"/>
  <c r="AF5" i="16"/>
  <c r="AD10" i="16"/>
  <c r="AL9" i="16"/>
  <c r="AO6" i="16"/>
  <c r="AI14" i="16"/>
  <c r="AC7" i="16"/>
  <c r="AD11" i="16"/>
  <c r="AD9" i="16"/>
  <c r="AJ7" i="16"/>
  <c r="AC8" i="16"/>
  <c r="AL5" i="16"/>
  <c r="AF8" i="16"/>
  <c r="AQ9" i="16"/>
  <c r="AP13" i="16"/>
  <c r="AL12" i="16"/>
  <c r="AD8" i="16"/>
  <c r="AC12" i="16"/>
  <c r="AR9" i="16"/>
  <c r="AL14" i="16"/>
  <c r="Y13" i="16"/>
  <c r="AF15" i="16"/>
  <c r="AI6" i="16"/>
  <c r="AL7" i="16"/>
  <c r="Y6" i="16"/>
  <c r="AK5" i="16"/>
  <c r="AC5" i="16"/>
  <c r="AK11" i="16"/>
  <c r="AK7" i="16"/>
  <c r="AI11" i="16"/>
  <c r="AI12" i="16"/>
  <c r="AJ12" i="16"/>
  <c r="Y9" i="16"/>
  <c r="J15" i="21" l="1"/>
  <c r="N9" i="21"/>
  <c r="M12" i="19"/>
  <c r="M11" i="19"/>
  <c r="M8" i="19"/>
  <c r="M6" i="19"/>
  <c r="M11" i="18"/>
  <c r="N11" i="20"/>
  <c r="M12" i="21"/>
  <c r="M5" i="19"/>
  <c r="M8" i="21"/>
  <c r="N13" i="19"/>
  <c r="M5" i="18"/>
  <c r="M7" i="18"/>
  <c r="M5" i="21"/>
  <c r="M11" i="21"/>
  <c r="M9" i="19"/>
  <c r="M9" i="18"/>
  <c r="J9" i="19"/>
  <c r="J10" i="21"/>
  <c r="J7" i="20"/>
  <c r="J11" i="21"/>
  <c r="G4" i="21"/>
  <c r="N4" i="21" s="1"/>
  <c r="I16" i="21"/>
  <c r="M7" i="20"/>
  <c r="N7" i="20"/>
  <c r="J5" i="20"/>
  <c r="J13" i="19"/>
  <c r="G4" i="19"/>
  <c r="N4" i="19" s="1"/>
  <c r="M12" i="20"/>
  <c r="J10" i="19"/>
  <c r="J12" i="20"/>
  <c r="J7" i="21"/>
  <c r="J5" i="21"/>
  <c r="G15" i="20"/>
  <c r="N15" i="20" s="1"/>
  <c r="J5" i="19"/>
  <c r="J11" i="20"/>
  <c r="J8" i="20"/>
  <c r="G15" i="19"/>
  <c r="N15" i="19" s="1"/>
  <c r="J4" i="20"/>
  <c r="J6" i="19"/>
  <c r="J12" i="21"/>
  <c r="N8" i="20"/>
  <c r="M8" i="20"/>
  <c r="J11" i="19"/>
  <c r="M10" i="19"/>
  <c r="M10" i="21"/>
  <c r="J8" i="21"/>
  <c r="J10" i="20"/>
  <c r="M7" i="19"/>
  <c r="M7" i="21"/>
  <c r="J8" i="19"/>
  <c r="J12" i="19"/>
  <c r="J9" i="21"/>
  <c r="N10" i="20"/>
  <c r="M10" i="20"/>
  <c r="M8" i="18"/>
  <c r="M5" i="20"/>
  <c r="J7" i="19"/>
  <c r="M12" i="18"/>
  <c r="N4" i="18"/>
  <c r="N6" i="18"/>
  <c r="M13" i="18"/>
  <c r="AM6" i="16"/>
  <c r="AA6" i="16" s="1"/>
  <c r="AM12" i="16"/>
  <c r="AA12" i="16" s="1"/>
  <c r="AM8" i="16"/>
  <c r="AA8" i="16" s="1"/>
  <c r="AM13" i="16"/>
  <c r="AA13" i="16" s="1"/>
  <c r="AM5" i="16"/>
  <c r="AA5" i="16" s="1"/>
  <c r="AM9" i="16"/>
  <c r="AA9" i="16" s="1"/>
  <c r="AM7" i="16"/>
  <c r="AA7" i="16" s="1"/>
  <c r="AM11" i="16"/>
  <c r="AA11" i="16" s="1"/>
  <c r="AM10" i="16"/>
  <c r="AA10" i="16" s="1"/>
  <c r="J6" i="18"/>
  <c r="J12" i="18"/>
  <c r="N10" i="18"/>
  <c r="J8" i="18"/>
  <c r="J13" i="18"/>
  <c r="J5" i="18"/>
  <c r="J9" i="18"/>
  <c r="J14" i="18"/>
  <c r="J7" i="18"/>
  <c r="J11" i="18"/>
  <c r="G15" i="18"/>
  <c r="N15" i="18" s="1"/>
  <c r="J16" i="18"/>
  <c r="J10" i="18"/>
  <c r="J4" i="18"/>
  <c r="R16" i="16"/>
  <c r="F16" i="21"/>
  <c r="G14" i="19"/>
  <c r="N14" i="19" s="1"/>
  <c r="J14" i="19"/>
  <c r="M15" i="21"/>
  <c r="J14" i="21"/>
  <c r="D16" i="21"/>
  <c r="G14" i="21"/>
  <c r="N14" i="21" s="1"/>
  <c r="G4" i="20"/>
  <c r="D16" i="20"/>
  <c r="Q16" i="16"/>
  <c r="F14" i="20"/>
  <c r="F16" i="18"/>
  <c r="G16" i="18" s="1"/>
  <c r="N16" i="18" s="1"/>
  <c r="G14" i="18"/>
  <c r="N14" i="18" s="1"/>
  <c r="F16" i="19"/>
  <c r="G16" i="19" s="1"/>
  <c r="J85" i="12"/>
  <c r="W10" i="16"/>
  <c r="Z11" i="16"/>
  <c r="W11" i="16"/>
  <c r="X11" i="16"/>
  <c r="Z12" i="16"/>
  <c r="W8" i="16"/>
  <c r="W5" i="16"/>
  <c r="AQ12" i="16"/>
  <c r="AP8" i="16"/>
  <c r="AO5" i="16"/>
  <c r="AI15" i="16"/>
  <c r="AE11" i="16"/>
  <c r="Z10" i="16"/>
  <c r="AO11" i="16"/>
  <c r="X13" i="16"/>
  <c r="X9" i="16"/>
  <c r="AF9" i="16"/>
  <c r="Y7" i="16"/>
  <c r="AR11" i="16"/>
  <c r="Z14" i="16"/>
  <c r="AQ8" i="16"/>
  <c r="AQ7" i="16"/>
  <c r="AO12" i="16"/>
  <c r="W4" i="16"/>
  <c r="AP9" i="16"/>
  <c r="W13" i="16"/>
  <c r="AR5" i="16"/>
  <c r="W6" i="16"/>
  <c r="Z9" i="16"/>
  <c r="W14" i="16"/>
  <c r="Z5" i="16"/>
  <c r="AE15" i="16"/>
  <c r="Z8" i="16"/>
  <c r="AR10" i="16"/>
  <c r="AP12" i="16"/>
  <c r="AE7" i="16"/>
  <c r="AO13" i="16"/>
  <c r="AJ4" i="16"/>
  <c r="AD14" i="16"/>
  <c r="AR7" i="16"/>
  <c r="AR8" i="16"/>
  <c r="Y11" i="16"/>
  <c r="X6" i="16"/>
  <c r="X5" i="16"/>
  <c r="Y12" i="16"/>
  <c r="X12" i="16"/>
  <c r="Z15" i="16"/>
  <c r="AR15" i="16"/>
  <c r="Z7" i="16"/>
  <c r="AI16" i="16"/>
  <c r="AO7" i="16"/>
  <c r="AJ15" i="16"/>
  <c r="AC10" i="16"/>
  <c r="AE10" i="16"/>
  <c r="AD13" i="16"/>
  <c r="AC16" i="16"/>
  <c r="X8" i="16"/>
  <c r="Y8" i="16"/>
  <c r="AR12" i="16"/>
  <c r="Y5" i="16"/>
  <c r="X7" i="16"/>
  <c r="AP11" i="16"/>
  <c r="Y4" i="16"/>
  <c r="AC6" i="16"/>
  <c r="AP6" i="16"/>
  <c r="AQ5" i="16"/>
  <c r="AF4" i="16"/>
  <c r="W16" i="16"/>
  <c r="AF14" i="16"/>
  <c r="AP7" i="16"/>
  <c r="AC15" i="16"/>
  <c r="AD15" i="16"/>
  <c r="AD4" i="16"/>
  <c r="Y10" i="16"/>
  <c r="W12" i="16"/>
  <c r="AO9" i="16"/>
  <c r="W9" i="16"/>
  <c r="AO8" i="16"/>
  <c r="AL4" i="16"/>
  <c r="AP10" i="16"/>
  <c r="AQ10" i="16"/>
  <c r="X14" i="16"/>
  <c r="AE8" i="16"/>
  <c r="AK15" i="16"/>
  <c r="AP5" i="16"/>
  <c r="AC14" i="16"/>
  <c r="X10" i="16"/>
  <c r="AC4" i="16"/>
  <c r="W7" i="16"/>
  <c r="AS6" i="16" l="1"/>
  <c r="AG6" i="16" s="1"/>
  <c r="M4" i="21"/>
  <c r="M4" i="19"/>
  <c r="M15" i="18"/>
  <c r="AS9" i="16"/>
  <c r="AG9" i="16" s="1"/>
  <c r="AS11" i="16"/>
  <c r="AG11" i="16" s="1"/>
  <c r="M15" i="20"/>
  <c r="AS5" i="16"/>
  <c r="AG5" i="16" s="1"/>
  <c r="AS10" i="16"/>
  <c r="AG10" i="16" s="1"/>
  <c r="AS8" i="16"/>
  <c r="AG8" i="16" s="1"/>
  <c r="AM4" i="16"/>
  <c r="AA4" i="16" s="1"/>
  <c r="AS7" i="16"/>
  <c r="AG7" i="16" s="1"/>
  <c r="J15" i="19"/>
  <c r="M15" i="19"/>
  <c r="J15" i="20"/>
  <c r="J16" i="21"/>
  <c r="J4" i="21"/>
  <c r="G14" i="20"/>
  <c r="N14" i="20" s="1"/>
  <c r="J4" i="19"/>
  <c r="AS13" i="16"/>
  <c r="AG13" i="16" s="1"/>
  <c r="AS12" i="16"/>
  <c r="AG12" i="16" s="1"/>
  <c r="AM15" i="16"/>
  <c r="AA15" i="16" s="1"/>
  <c r="J15" i="18"/>
  <c r="M14" i="19"/>
  <c r="M14" i="21"/>
  <c r="G16" i="21"/>
  <c r="N16" i="21" s="1"/>
  <c r="M16" i="18"/>
  <c r="F16" i="20"/>
  <c r="G16" i="20" s="1"/>
  <c r="N16" i="20" s="1"/>
  <c r="N4" i="20"/>
  <c r="M4" i="20"/>
  <c r="M14" i="18"/>
  <c r="N16" i="19"/>
  <c r="M16" i="19"/>
  <c r="J86" i="12"/>
  <c r="AJ16" i="16"/>
  <c r="AP15" i="16"/>
  <c r="Z4" i="16"/>
  <c r="AQ15" i="16"/>
  <c r="AO14" i="16"/>
  <c r="AE16" i="16"/>
  <c r="AD16" i="16"/>
  <c r="AR14" i="16"/>
  <c r="AP16" i="16"/>
  <c r="AR4" i="16"/>
  <c r="AO16" i="16"/>
  <c r="Y15" i="16"/>
  <c r="AE14" i="16"/>
  <c r="W15" i="16"/>
  <c r="AP14" i="16"/>
  <c r="AP4" i="16"/>
  <c r="AE4" i="16"/>
  <c r="AF16" i="16"/>
  <c r="AK14" i="16"/>
  <c r="AL16" i="16"/>
  <c r="Z16" i="16"/>
  <c r="X15" i="16"/>
  <c r="AQ4" i="16"/>
  <c r="AO15" i="16"/>
  <c r="X4" i="16"/>
  <c r="AS15" i="16" l="1"/>
  <c r="AG15" i="16" s="1"/>
  <c r="AM14" i="16"/>
  <c r="AA14" i="16" s="1"/>
  <c r="M14" i="20"/>
  <c r="J14" i="20"/>
  <c r="J16" i="19"/>
  <c r="AS4" i="16"/>
  <c r="AG4" i="16" s="1"/>
  <c r="M16" i="21"/>
  <c r="M16" i="20"/>
  <c r="J87" i="12"/>
  <c r="AQ16" i="16"/>
  <c r="AK16" i="16"/>
  <c r="Y14" i="16"/>
  <c r="AQ14" i="16"/>
  <c r="AR16" i="16"/>
  <c r="X16" i="16"/>
  <c r="AS14" i="16" l="1"/>
  <c r="AG14" i="16" s="1"/>
  <c r="AM16" i="16"/>
  <c r="AA16" i="16" s="1"/>
  <c r="J16" i="20"/>
  <c r="AS16" i="16"/>
  <c r="AG16" i="16" s="1"/>
  <c r="J88" i="12"/>
  <c r="Y16" i="16"/>
  <c r="J89" i="12" l="1"/>
  <c r="J90" i="12" l="1"/>
  <c r="J91" i="12" l="1"/>
  <c r="J92" i="12" l="1"/>
  <c r="J93" i="12" l="1"/>
  <c r="J94" i="12" l="1"/>
  <c r="J95" i="12" l="1"/>
  <c r="J96" i="12" l="1"/>
  <c r="J97" i="12" l="1"/>
  <c r="J98" i="12" l="1"/>
  <c r="J99" i="12" l="1"/>
  <c r="J100" i="12" l="1"/>
  <c r="J101" i="12" l="1"/>
  <c r="J102" i="12" l="1"/>
  <c r="J103" i="12" l="1"/>
  <c r="J104" i="12" l="1"/>
  <c r="J105" i="12" l="1"/>
  <c r="J106" i="12" l="1"/>
  <c r="J107" i="12" l="1"/>
  <c r="J108" i="12" l="1"/>
  <c r="J109" i="12" l="1"/>
  <c r="J110" i="12" l="1"/>
  <c r="J111" i="12" l="1"/>
  <c r="J112" i="12" l="1"/>
  <c r="J113" i="12" l="1"/>
  <c r="J114" i="12" l="1"/>
  <c r="J115" i="12" l="1"/>
  <c r="J116" i="12" l="1"/>
  <c r="J117" i="12" l="1"/>
  <c r="J118" i="12" l="1"/>
  <c r="J119" i="12" l="1"/>
  <c r="J120" i="12" l="1"/>
  <c r="J121" i="12" l="1"/>
  <c r="J122" i="12" l="1"/>
  <c r="J123" i="12" l="1"/>
  <c r="J124" i="12" l="1"/>
  <c r="J125" i="12" l="1"/>
  <c r="J126" i="12" l="1"/>
  <c r="J127" i="12" l="1"/>
  <c r="J128" i="12" l="1"/>
</calcChain>
</file>

<file path=xl/sharedStrings.xml><?xml version="1.0" encoding="utf-8"?>
<sst xmlns="http://schemas.openxmlformats.org/spreadsheetml/2006/main" count="451" uniqueCount="95">
  <si>
    <t>剔除季节因子</t>
    <phoneticPr fontId="4" type="noConversion"/>
  </si>
  <si>
    <t>月份</t>
    <phoneticPr fontId="8" type="noConversion"/>
  </si>
  <si>
    <t>实际值</t>
    <phoneticPr fontId="8" type="noConversion"/>
  </si>
  <si>
    <t>季节因子</t>
    <phoneticPr fontId="8" type="noConversion"/>
  </si>
  <si>
    <t>序号</t>
    <phoneticPr fontId="8" type="noConversion"/>
  </si>
  <si>
    <t>线性模型</t>
    <phoneticPr fontId="8" type="noConversion"/>
  </si>
  <si>
    <t>指数模型</t>
    <phoneticPr fontId="8" type="noConversion"/>
  </si>
  <si>
    <t>线性回归模型</t>
    <phoneticPr fontId="8" type="noConversion"/>
  </si>
  <si>
    <t>指数回归模型</t>
    <phoneticPr fontId="8" type="noConversion"/>
  </si>
  <si>
    <t>LN(剔除季节因子)</t>
    <phoneticPr fontId="8" type="noConversion"/>
  </si>
  <si>
    <t>实际值个数</t>
    <phoneticPr fontId="8" type="noConversion"/>
  </si>
  <si>
    <t>预测几个值</t>
    <phoneticPr fontId="8" type="noConversion"/>
  </si>
  <si>
    <t>R²</t>
    <phoneticPr fontId="8" type="noConversion"/>
  </si>
  <si>
    <t>模型选择</t>
    <phoneticPr fontId="8" type="noConversion"/>
  </si>
  <si>
    <t>预测结果</t>
    <phoneticPr fontId="3" type="noConversion"/>
  </si>
  <si>
    <t>1、至少放入25个月的数据，建议36个数据或者以上</t>
  </si>
  <si>
    <t>2、数据越多，季节因子越准确</t>
  </si>
  <si>
    <t>工具介绍</t>
    <phoneticPr fontId="8" type="noConversion"/>
  </si>
  <si>
    <t>使用方法</t>
    <phoneticPr fontId="8" type="noConversion"/>
  </si>
  <si>
    <t>注意事项</t>
    <phoneticPr fontId="8" type="noConversion"/>
  </si>
  <si>
    <t>时间序列预测工具</t>
    <phoneticPr fontId="8" type="noConversion"/>
  </si>
  <si>
    <t>推荐↓</t>
    <phoneticPr fontId="8" type="noConversion"/>
  </si>
  <si>
    <t>年-绘图</t>
    <phoneticPr fontId="8" type="noConversion"/>
  </si>
  <si>
    <t>指数模型</t>
  </si>
  <si>
    <t>2、X-11是美国商务部标准的季节调整方法，基于移动平均法的季节调整方法。</t>
    <phoneticPr fontId="8" type="noConversion"/>
  </si>
  <si>
    <t>3、它的特征在于除了能适应各种经济指标的性质，根据各种季节调整的目的。</t>
    <phoneticPr fontId="8" type="noConversion"/>
  </si>
  <si>
    <t>1、在C9单元格输入开始日期，在D列输入历史数值</t>
    <phoneticPr fontId="8" type="noConversion"/>
  </si>
  <si>
    <t>2、点击开始预测，然后在C5单元格输入预测未来几个月</t>
    <phoneticPr fontId="8" type="noConversion"/>
  </si>
  <si>
    <t>省份</t>
  </si>
  <si>
    <t>西区</t>
  </si>
  <si>
    <t>东区</t>
  </si>
  <si>
    <t>东区</t>
    <phoneticPr fontId="4" type="noConversion"/>
  </si>
  <si>
    <t>南区</t>
  </si>
  <si>
    <t>南区</t>
    <phoneticPr fontId="4" type="noConversion"/>
  </si>
  <si>
    <t>北区</t>
  </si>
  <si>
    <t>北区</t>
    <phoneticPr fontId="4" type="noConversion"/>
  </si>
  <si>
    <t>西区</t>
    <phoneticPr fontId="4" type="noConversion"/>
  </si>
  <si>
    <t>1、本工具调用X-11季节调整方法，适合用于预测随季节趋势变化的预测。</t>
    <phoneticPr fontId="8" type="noConversion"/>
  </si>
  <si>
    <t>年月</t>
    <phoneticPr fontId="4" type="noConversion"/>
  </si>
  <si>
    <t>当月销量</t>
    <phoneticPr fontId="4" type="noConversion"/>
  </si>
  <si>
    <t>月份</t>
    <phoneticPr fontId="4" type="noConversion"/>
  </si>
  <si>
    <t>合计</t>
    <phoneticPr fontId="4" type="noConversion"/>
  </si>
  <si>
    <t>2016实际</t>
    <phoneticPr fontId="4" type="noConversion"/>
  </si>
  <si>
    <t>2017实际</t>
    <phoneticPr fontId="4" type="noConversion"/>
  </si>
  <si>
    <t>增长率</t>
    <phoneticPr fontId="4" type="noConversion"/>
  </si>
  <si>
    <t>销售提交的预测</t>
    <phoneticPr fontId="4" type="noConversion"/>
  </si>
  <si>
    <t>调整后的增长率</t>
    <phoneticPr fontId="4" type="noConversion"/>
  </si>
  <si>
    <t>2018预测</t>
    <phoneticPr fontId="4" type="noConversion"/>
  </si>
  <si>
    <t>销售提交的预测销量</t>
    <phoneticPr fontId="4" type="noConversion"/>
  </si>
  <si>
    <t>2018销量目标 调整后</t>
    <phoneticPr fontId="4" type="noConversion"/>
  </si>
  <si>
    <t>实际</t>
    <phoneticPr fontId="4" type="noConversion"/>
  </si>
  <si>
    <t>预测</t>
    <phoneticPr fontId="4" type="noConversion"/>
  </si>
  <si>
    <t>调整后</t>
    <phoneticPr fontId="4" type="noConversion"/>
  </si>
  <si>
    <t>增长调整</t>
    <phoneticPr fontId="4" type="noConversion"/>
  </si>
  <si>
    <t>东区</t>
    <phoneticPr fontId="4" type="noConversion"/>
  </si>
  <si>
    <t>南区</t>
    <phoneticPr fontId="4" type="noConversion"/>
  </si>
  <si>
    <t>西区</t>
    <phoneticPr fontId="4" type="noConversion"/>
  </si>
  <si>
    <t>北区</t>
    <phoneticPr fontId="4" type="noConversion"/>
  </si>
  <si>
    <t>销售提交的预测增长率</t>
    <phoneticPr fontId="4" type="noConversion"/>
  </si>
  <si>
    <t>本案例视频</t>
    <phoneticPr fontId="4" type="noConversion"/>
  </si>
  <si>
    <t>类型</t>
    <phoneticPr fontId="4" type="noConversion"/>
  </si>
  <si>
    <t>描述</t>
    <phoneticPr fontId="4" type="noConversion"/>
  </si>
  <si>
    <t>视频教程</t>
    <phoneticPr fontId="4" type="noConversion"/>
  </si>
  <si>
    <t>地址</t>
    <phoneticPr fontId="24" type="noConversion"/>
  </si>
  <si>
    <t>备注</t>
    <phoneticPr fontId="4" type="noConversion"/>
  </si>
  <si>
    <t>案例背景</t>
    <phoneticPr fontId="24" type="noConversion"/>
  </si>
  <si>
    <t>案例背景介绍</t>
    <phoneticPr fontId="24" type="noConversion"/>
  </si>
  <si>
    <t>https://study.163.com/course/courseLearn.htm?courseId=1006124026#/learn/video?lessonId=1053635702&amp;courseId=1006124026</t>
  </si>
  <si>
    <t>实现步骤01</t>
    <phoneticPr fontId="4" type="noConversion"/>
  </si>
  <si>
    <t>用时间序列X11模型预测销量</t>
    <phoneticPr fontId="4" type="noConversion"/>
  </si>
  <si>
    <t>实现步骤02</t>
  </si>
  <si>
    <t>设计表格模板</t>
    <phoneticPr fontId="4" type="noConversion"/>
  </si>
  <si>
    <t>实现步骤03</t>
  </si>
  <si>
    <t>填写汇总表的公式</t>
    <phoneticPr fontId="4" type="noConversion"/>
  </si>
  <si>
    <t>实现步骤04</t>
  </si>
  <si>
    <t>填写分销售区域的公式</t>
    <phoneticPr fontId="4" type="noConversion"/>
  </si>
  <si>
    <t>实现步骤05</t>
    <phoneticPr fontId="4" type="noConversion"/>
  </si>
  <si>
    <t>时间序列预测工具介绍</t>
    <phoneticPr fontId="4" type="noConversion"/>
  </si>
  <si>
    <t>基础知识</t>
    <phoneticPr fontId="24" type="noConversion"/>
  </si>
  <si>
    <t>单元格设置，你要的设置都在这里</t>
    <phoneticPr fontId="4" type="noConversion"/>
  </si>
  <si>
    <t>统计类函数，求和系列</t>
    <phoneticPr fontId="4" type="noConversion"/>
  </si>
  <si>
    <t>https://study.163.com/course/courseLearn.htm?courseId=1006124026#/learn/video?lessonId=1053631629&amp;courseId=1006124026</t>
  </si>
  <si>
    <t>查找类函数，Indirect</t>
    <phoneticPr fontId="4" type="noConversion"/>
  </si>
  <si>
    <t>https://study.163.com/course/courseLearn.htm?courseId=1006124026#/learn/video?lessonId=1053648902&amp;courseId=1006124026</t>
  </si>
  <si>
    <t>查找类函数，Offset</t>
    <phoneticPr fontId="4" type="noConversion"/>
  </si>
  <si>
    <t>https://study.163.com/course/courseLearn.htm?courseId=1006124026#/learn/video?lessonId=1053647899&amp;courseId=1006124026</t>
  </si>
  <si>
    <t>查找类函数，match + index</t>
    <phoneticPr fontId="4" type="noConversion"/>
  </si>
  <si>
    <t>https://study.163.com/course/courseLearn.htm?courseId=1006124026#/learn/video?lessonId=1053629652&amp;courseId=1006124026</t>
  </si>
  <si>
    <t>https://study.163.com/course/courseLearn.htm?courseId=1006124026#/learn/video?lessonId=1053634714&amp;courseId=1006124026</t>
  </si>
  <si>
    <t>时间类函数，认识Excel中的日期</t>
    <phoneticPr fontId="4" type="noConversion"/>
  </si>
  <si>
    <t>时间类函数，日期偏移</t>
    <phoneticPr fontId="4" type="noConversion"/>
  </si>
  <si>
    <t>https://study.163.com/course/courseLearn.htm?courseId=1006124026#/learn/video?lessonId=1053636690&amp;courseId=1006124026</t>
  </si>
  <si>
    <t>文本类函数，连接系列</t>
    <phoneticPr fontId="4" type="noConversion"/>
  </si>
  <si>
    <t>https://study.163.com/course/courseLearn.htm?courseId=1006124026#/learn/video?lessonId=1053632687&amp;courseId=1006124026</t>
  </si>
  <si>
    <t>3、确保TS.dll文件与本文件在同一文件夹内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</si>
</sst>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(* #,##0_);_(* \(#,##0\);_(* &quot;-&quot;_);_(@_)"/>
    <numFmt numFmtId="177" formatCode="_ * #,##0_ ;_ * \-#,##0_ ;_ * &quot;-&quot;??_ ;_ @_ "/>
    <numFmt numFmtId="178" formatCode="_ * #,##0.0000_ ;_ * \-#,##0.0000_ ;_ * &quot;-&quot;??_ ;_ @_ "/>
    <numFmt numFmtId="179" formatCode="0.0%"/>
  </numFmts>
  <fonts count="27" x14ac:knownFonts="1">
    <font>
      <sz val="11"/>
      <color theme="1"/>
      <name val="等线"/>
      <family val="2"/>
      <scheme val="minor"/>
    </font>
    <font>
      <sz val="11"/>
      <color rgb="FF3F3F76"/>
      <name val="Calibri"/>
      <family val="2"/>
      <charset val="134"/>
    </font>
    <font>
      <sz val="11"/>
      <color theme="0"/>
      <name val="Calibri"/>
      <family val="2"/>
      <charset val="134"/>
    </font>
    <font>
      <sz val="9"/>
      <name val="Calibri"/>
      <family val="2"/>
      <charset val="134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1"/>
      <color theme="1"/>
      <name val="等线"/>
      <family val="2"/>
      <scheme val="minor"/>
    </font>
    <font>
      <b/>
      <sz val="10"/>
      <color rgb="FF000000"/>
      <name val="微软雅黑"/>
      <family val="2"/>
      <charset val="134"/>
    </font>
    <font>
      <sz val="9"/>
      <name val="宋体"/>
      <family val="3"/>
      <charset val="134"/>
    </font>
    <font>
      <b/>
      <sz val="15"/>
      <color theme="3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1"/>
      <color theme="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3F3F76"/>
      <name val="等线"/>
      <family val="3"/>
      <charset val="134"/>
      <scheme val="minor"/>
    </font>
    <font>
      <sz val="11"/>
      <color rgb="FF3F3F3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i/>
      <sz val="10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0"/>
      <name val="微软雅黑"/>
      <family val="2"/>
      <charset val="134"/>
    </font>
    <font>
      <sz val="1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0"/>
      <name val="等线"/>
      <family val="2"/>
      <scheme val="minor"/>
    </font>
    <font>
      <sz val="10"/>
      <name val="等线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dotted">
        <color theme="0" tint="-0.499984740745262"/>
      </right>
      <top style="medium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medium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dotted">
        <color theme="0" tint="-0.499984740745262"/>
      </bottom>
      <diagonal/>
    </border>
    <border>
      <left style="medium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 style="medium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dotted">
        <color theme="0" tint="-0.499984740745262"/>
      </left>
      <right/>
      <top style="medium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dotted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dotted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 style="medium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</borders>
  <cellStyleXfs count="1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2" borderId="1" applyNumberFormat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" fillId="0" borderId="3" applyNumberFormat="0" applyFill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6" fillId="5" borderId="5" applyNumberFormat="0" applyFont="0" applyAlignment="0" applyProtection="0">
      <alignment vertical="center"/>
    </xf>
    <xf numFmtId="0" fontId="19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/>
  </cellStyleXfs>
  <cellXfs count="125">
    <xf numFmtId="0" fontId="0" fillId="0" borderId="0" xfId="0"/>
    <xf numFmtId="0" fontId="11" fillId="4" borderId="2" xfId="3" applyFont="1" applyBorder="1" applyAlignment="1">
      <alignment horizontal="left" vertical="center"/>
    </xf>
    <xf numFmtId="0" fontId="11" fillId="4" borderId="2" xfId="3" applyNumberFormat="1" applyFont="1" applyBorder="1" applyAlignment="1">
      <alignment horizontal="center" vertical="center" wrapText="1"/>
    </xf>
    <xf numFmtId="0" fontId="11" fillId="4" borderId="2" xfId="3" applyFont="1" applyBorder="1" applyAlignment="1">
      <alignment horizontal="center" vertical="center" wrapText="1"/>
    </xf>
    <xf numFmtId="0" fontId="12" fillId="0" borderId="0" xfId="4" applyFont="1" applyAlignment="1">
      <alignment vertical="center"/>
    </xf>
    <xf numFmtId="0" fontId="12" fillId="0" borderId="2" xfId="4" applyNumberFormat="1" applyFont="1" applyFill="1" applyBorder="1" applyAlignment="1">
      <alignment horizontal="center" vertical="center"/>
    </xf>
    <xf numFmtId="176" fontId="13" fillId="2" borderId="2" xfId="2" applyNumberFormat="1" applyFont="1" applyBorder="1" applyAlignment="1" applyProtection="1">
      <alignment vertical="center"/>
      <protection locked="0"/>
    </xf>
    <xf numFmtId="43" fontId="14" fillId="3" borderId="4" xfId="8" applyNumberFormat="1" applyFont="1" applyAlignment="1" applyProtection="1">
      <alignment vertical="center"/>
      <protection locked="0"/>
    </xf>
    <xf numFmtId="177" fontId="15" fillId="0" borderId="2" xfId="5" applyNumberFormat="1" applyFont="1" applyBorder="1" applyAlignment="1">
      <alignment vertical="center"/>
    </xf>
    <xf numFmtId="43" fontId="15" fillId="0" borderId="2" xfId="5" applyNumberFormat="1" applyFont="1" applyBorder="1" applyAlignment="1">
      <alignment vertical="center"/>
    </xf>
    <xf numFmtId="177" fontId="15" fillId="0" borderId="2" xfId="1" applyNumberFormat="1" applyFont="1" applyBorder="1" applyAlignment="1">
      <alignment vertical="center"/>
    </xf>
    <xf numFmtId="177" fontId="14" fillId="3" borderId="4" xfId="1" applyNumberFormat="1" applyFont="1" applyFill="1" applyBorder="1" applyAlignment="1">
      <alignment vertical="center"/>
    </xf>
    <xf numFmtId="0" fontId="12" fillId="0" borderId="0" xfId="4" applyFont="1" applyAlignment="1">
      <alignment horizontal="center" vertical="center"/>
    </xf>
    <xf numFmtId="0" fontId="12" fillId="0" borderId="0" xfId="1" applyNumberFormat="1" applyFont="1" applyAlignment="1">
      <alignment vertical="center"/>
    </xf>
    <xf numFmtId="178" fontId="12" fillId="0" borderId="0" xfId="4" applyNumberFormat="1" applyFont="1" applyAlignment="1">
      <alignment vertical="center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Alignment="1">
      <alignment vertical="center"/>
    </xf>
    <xf numFmtId="0" fontId="12" fillId="5" borderId="5" xfId="9" applyFont="1" applyAlignment="1">
      <alignment horizontal="center" vertical="center"/>
    </xf>
    <xf numFmtId="0" fontId="1" fillId="2" borderId="1" xfId="2" applyAlignment="1">
      <alignment horizontal="center" vertical="center"/>
    </xf>
    <xf numFmtId="0" fontId="16" fillId="0" borderId="0" xfId="3" applyFont="1" applyFill="1" applyAlignment="1">
      <alignment vertical="center"/>
    </xf>
    <xf numFmtId="0" fontId="17" fillId="0" borderId="0" xfId="4" applyFont="1" applyAlignment="1">
      <alignment vertical="center"/>
    </xf>
    <xf numFmtId="0" fontId="10" fillId="3" borderId="4" xfId="8" applyAlignment="1">
      <alignment horizontal="center" vertical="center"/>
    </xf>
    <xf numFmtId="0" fontId="9" fillId="0" borderId="3" xfId="7" applyNumberFormat="1" applyAlignment="1">
      <alignment vertical="center"/>
    </xf>
    <xf numFmtId="0" fontId="9" fillId="0" borderId="3" xfId="7" applyAlignment="1">
      <alignment vertical="center"/>
    </xf>
    <xf numFmtId="0" fontId="18" fillId="0" borderId="0" xfId="4" applyFont="1" applyAlignment="1">
      <alignment horizontal="center"/>
    </xf>
    <xf numFmtId="43" fontId="0" fillId="0" borderId="0" xfId="1" applyFont="1" applyAlignment="1"/>
    <xf numFmtId="14" fontId="13" fillId="2" borderId="1" xfId="2" applyNumberFormat="1" applyFont="1" applyAlignment="1">
      <alignment vertical="center"/>
    </xf>
    <xf numFmtId="14" fontId="12" fillId="0" borderId="2" xfId="4" applyNumberFormat="1" applyFont="1" applyFill="1" applyBorder="1" applyAlignment="1">
      <alignment vertical="center"/>
    </xf>
    <xf numFmtId="0" fontId="0" fillId="0" borderId="2" xfId="0" applyBorder="1"/>
    <xf numFmtId="43" fontId="0" fillId="0" borderId="2" xfId="1" applyFont="1" applyBorder="1" applyAlignment="1"/>
    <xf numFmtId="14" fontId="0" fillId="0" borderId="2" xfId="0" applyNumberFormat="1" applyBorder="1"/>
    <xf numFmtId="4" fontId="0" fillId="0" borderId="2" xfId="0" applyNumberFormat="1" applyBorder="1"/>
    <xf numFmtId="0" fontId="0" fillId="7" borderId="21" xfId="0" applyFill="1" applyBorder="1"/>
    <xf numFmtId="0" fontId="0" fillId="0" borderId="31" xfId="0" applyBorder="1"/>
    <xf numFmtId="0" fontId="20" fillId="6" borderId="19" xfId="0" applyFont="1" applyFill="1" applyBorder="1" applyAlignment="1">
      <alignment horizontal="center"/>
    </xf>
    <xf numFmtId="0" fontId="20" fillId="6" borderId="10" xfId="0" applyFont="1" applyFill="1" applyBorder="1" applyAlignment="1">
      <alignment horizontal="center"/>
    </xf>
    <xf numFmtId="0" fontId="20" fillId="6" borderId="1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20" fillId="6" borderId="25" xfId="0" applyFont="1" applyFill="1" applyBorder="1" applyAlignment="1">
      <alignment horizontal="center"/>
    </xf>
    <xf numFmtId="0" fontId="20" fillId="6" borderId="9" xfId="0" applyFont="1" applyFill="1" applyBorder="1" applyAlignment="1">
      <alignment horizontal="center"/>
    </xf>
    <xf numFmtId="0" fontId="20" fillId="8" borderId="9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1" fontId="0" fillId="0" borderId="12" xfId="0" applyNumberFormat="1" applyBorder="1"/>
    <xf numFmtId="1" fontId="0" fillId="0" borderId="13" xfId="0" applyNumberFormat="1" applyBorder="1"/>
    <xf numFmtId="1" fontId="0" fillId="0" borderId="15" xfId="0" applyNumberFormat="1" applyBorder="1"/>
    <xf numFmtId="1" fontId="0" fillId="0" borderId="16" xfId="0" applyNumberFormat="1" applyBorder="1"/>
    <xf numFmtId="1" fontId="0" fillId="0" borderId="35" xfId="0" applyNumberFormat="1" applyBorder="1"/>
    <xf numFmtId="1" fontId="0" fillId="0" borderId="36" xfId="0" applyNumberFormat="1" applyBorder="1"/>
    <xf numFmtId="1" fontId="0" fillId="7" borderId="21" xfId="0" applyNumberFormat="1" applyFill="1" applyBorder="1"/>
    <xf numFmtId="1" fontId="0" fillId="7" borderId="22" xfId="0" applyNumberFormat="1" applyFill="1" applyBorder="1"/>
    <xf numFmtId="1" fontId="0" fillId="0" borderId="14" xfId="0" applyNumberFormat="1" applyBorder="1"/>
    <xf numFmtId="1" fontId="0" fillId="0" borderId="17" xfId="0" applyNumberFormat="1" applyBorder="1"/>
    <xf numFmtId="1" fontId="0" fillId="0" borderId="37" xfId="0" applyNumberFormat="1" applyBorder="1"/>
    <xf numFmtId="1" fontId="0" fillId="7" borderId="23" xfId="0" applyNumberFormat="1" applyFill="1" applyBorder="1"/>
    <xf numFmtId="1" fontId="0" fillId="0" borderId="26" xfId="0" applyNumberFormat="1" applyBorder="1"/>
    <xf numFmtId="1" fontId="0" fillId="0" borderId="27" xfId="0" applyNumberFormat="1" applyBorder="1"/>
    <xf numFmtId="179" fontId="0" fillId="0" borderId="14" xfId="11" applyNumberFormat="1" applyFont="1" applyBorder="1" applyAlignment="1"/>
    <xf numFmtId="179" fontId="0" fillId="0" borderId="17" xfId="11" applyNumberFormat="1" applyFont="1" applyBorder="1" applyAlignment="1"/>
    <xf numFmtId="1" fontId="21" fillId="0" borderId="15" xfId="0" applyNumberFormat="1" applyFont="1" applyBorder="1"/>
    <xf numFmtId="1" fontId="21" fillId="0" borderId="16" xfId="0" applyNumberFormat="1" applyFont="1" applyBorder="1"/>
    <xf numFmtId="1" fontId="21" fillId="0" borderId="27" xfId="0" applyNumberFormat="1" applyFont="1" applyBorder="1"/>
    <xf numFmtId="179" fontId="21" fillId="0" borderId="17" xfId="11" applyNumberFormat="1" applyFont="1" applyBorder="1" applyAlignment="1"/>
    <xf numFmtId="1" fontId="21" fillId="0" borderId="35" xfId="0" applyNumberFormat="1" applyFont="1" applyBorder="1"/>
    <xf numFmtId="1" fontId="21" fillId="0" borderId="36" xfId="0" applyNumberFormat="1" applyFont="1" applyBorder="1"/>
    <xf numFmtId="1" fontId="21" fillId="0" borderId="38" xfId="0" applyNumberFormat="1" applyFont="1" applyBorder="1"/>
    <xf numFmtId="179" fontId="21" fillId="0" borderId="37" xfId="11" applyNumberFormat="1" applyFont="1" applyBorder="1" applyAlignment="1"/>
    <xf numFmtId="1" fontId="21" fillId="7" borderId="21" xfId="0" applyNumberFormat="1" applyFont="1" applyFill="1" applyBorder="1"/>
    <xf numFmtId="1" fontId="21" fillId="7" borderId="22" xfId="0" applyNumberFormat="1" applyFont="1" applyFill="1" applyBorder="1"/>
    <xf numFmtId="1" fontId="21" fillId="7" borderId="28" xfId="0" applyNumberFormat="1" applyFont="1" applyFill="1" applyBorder="1"/>
    <xf numFmtId="179" fontId="21" fillId="7" borderId="23" xfId="11" applyNumberFormat="1" applyFont="1" applyFill="1" applyBorder="1" applyAlignment="1"/>
    <xf numFmtId="1" fontId="21" fillId="0" borderId="12" xfId="0" applyNumberFormat="1" applyFont="1" applyBorder="1"/>
    <xf numFmtId="1" fontId="21" fillId="0" borderId="13" xfId="0" applyNumberFormat="1" applyFont="1" applyBorder="1"/>
    <xf numFmtId="1" fontId="21" fillId="0" borderId="26" xfId="0" applyNumberFormat="1" applyFont="1" applyBorder="1"/>
    <xf numFmtId="179" fontId="21" fillId="0" borderId="14" xfId="11" applyNumberFormat="1" applyFont="1" applyBorder="1" applyAlignment="1"/>
    <xf numFmtId="1" fontId="0" fillId="0" borderId="31" xfId="0" applyNumberFormat="1" applyBorder="1"/>
    <xf numFmtId="9" fontId="0" fillId="0" borderId="14" xfId="11" applyFont="1" applyBorder="1" applyAlignment="1"/>
    <xf numFmtId="9" fontId="0" fillId="0" borderId="17" xfId="11" applyFont="1" applyBorder="1" applyAlignment="1"/>
    <xf numFmtId="9" fontId="0" fillId="0" borderId="37" xfId="11" applyFont="1" applyBorder="1" applyAlignment="1"/>
    <xf numFmtId="9" fontId="0" fillId="7" borderId="23" xfId="11" applyFont="1" applyFill="1" applyBorder="1" applyAlignment="1"/>
    <xf numFmtId="179" fontId="0" fillId="0" borderId="37" xfId="11" applyNumberFormat="1" applyFont="1" applyBorder="1" applyAlignment="1"/>
    <xf numFmtId="179" fontId="0" fillId="7" borderId="23" xfId="11" applyNumberFormat="1" applyFont="1" applyFill="1" applyBorder="1" applyAlignment="1"/>
    <xf numFmtId="9" fontId="0" fillId="0" borderId="12" xfId="0" applyNumberFormat="1" applyBorder="1"/>
    <xf numFmtId="9" fontId="0" fillId="0" borderId="15" xfId="11" applyFont="1" applyBorder="1" applyAlignment="1"/>
    <xf numFmtId="9" fontId="0" fillId="0" borderId="35" xfId="11" applyFont="1" applyBorder="1" applyAlignment="1"/>
    <xf numFmtId="179" fontId="0" fillId="0" borderId="12" xfId="11" applyNumberFormat="1" applyFont="1" applyBorder="1" applyAlignment="1"/>
    <xf numFmtId="179" fontId="0" fillId="0" borderId="13" xfId="11" applyNumberFormat="1" applyFont="1" applyBorder="1" applyAlignment="1"/>
    <xf numFmtId="179" fontId="0" fillId="0" borderId="15" xfId="11" applyNumberFormat="1" applyFont="1" applyBorder="1" applyAlignment="1"/>
    <xf numFmtId="179" fontId="0" fillId="0" borderId="16" xfId="11" applyNumberFormat="1" applyFont="1" applyBorder="1" applyAlignment="1"/>
    <xf numFmtId="179" fontId="0" fillId="0" borderId="35" xfId="11" applyNumberFormat="1" applyFont="1" applyBorder="1" applyAlignment="1"/>
    <xf numFmtId="179" fontId="0" fillId="0" borderId="36" xfId="11" applyNumberFormat="1" applyFont="1" applyBorder="1" applyAlignment="1"/>
    <xf numFmtId="9" fontId="0" fillId="0" borderId="12" xfId="11" applyNumberFormat="1" applyFont="1" applyBorder="1" applyAlignment="1"/>
    <xf numFmtId="9" fontId="0" fillId="0" borderId="13" xfId="11" applyNumberFormat="1" applyFont="1" applyBorder="1" applyAlignment="1"/>
    <xf numFmtId="9" fontId="0" fillId="0" borderId="15" xfId="11" applyNumberFormat="1" applyFont="1" applyBorder="1" applyAlignment="1"/>
    <xf numFmtId="9" fontId="0" fillId="0" borderId="16" xfId="11" applyNumberFormat="1" applyFont="1" applyBorder="1" applyAlignment="1"/>
    <xf numFmtId="9" fontId="0" fillId="0" borderId="35" xfId="11" applyNumberFormat="1" applyFont="1" applyBorder="1" applyAlignment="1"/>
    <xf numFmtId="9" fontId="0" fillId="0" borderId="36" xfId="11" applyNumberFormat="1" applyFont="1" applyBorder="1" applyAlignment="1"/>
    <xf numFmtId="9" fontId="0" fillId="7" borderId="21" xfId="0" applyNumberFormat="1" applyFill="1" applyBorder="1"/>
    <xf numFmtId="9" fontId="0" fillId="7" borderId="22" xfId="0" applyNumberFormat="1" applyFill="1" applyBorder="1"/>
    <xf numFmtId="179" fontId="0" fillId="7" borderId="21" xfId="11" applyNumberFormat="1" applyFont="1" applyFill="1" applyBorder="1" applyAlignment="1"/>
    <xf numFmtId="179" fontId="0" fillId="7" borderId="22" xfId="11" applyNumberFormat="1" applyFont="1" applyFill="1" applyBorder="1" applyAlignment="1"/>
    <xf numFmtId="0" fontId="9" fillId="0" borderId="3" xfId="7" applyAlignment="1"/>
    <xf numFmtId="0" fontId="22" fillId="0" borderId="0" xfId="10" applyFont="1" applyFill="1" applyAlignment="1">
      <alignment horizontal="center" vertical="center"/>
    </xf>
    <xf numFmtId="0" fontId="22" fillId="0" borderId="0" xfId="10" applyFont="1" applyFill="1" applyAlignment="1">
      <alignment horizontal="left" vertical="center"/>
    </xf>
    <xf numFmtId="0" fontId="23" fillId="0" borderId="0" xfId="10" applyFont="1" applyFill="1" applyAlignment="1">
      <alignment horizontal="center" vertical="center"/>
    </xf>
    <xf numFmtId="0" fontId="25" fillId="0" borderId="0" xfId="12" applyFill="1" applyAlignment="1">
      <alignment horizontal="center" vertical="center"/>
    </xf>
    <xf numFmtId="0" fontId="23" fillId="0" borderId="0" xfId="10" applyFont="1" applyFill="1" applyAlignment="1">
      <alignment vertical="center" shrinkToFit="1"/>
    </xf>
    <xf numFmtId="0" fontId="22" fillId="0" borderId="0" xfId="10" applyFont="1" applyFill="1" applyAlignment="1">
      <alignment vertical="center"/>
    </xf>
    <xf numFmtId="0" fontId="25" fillId="0" borderId="0" xfId="12" applyNumberFormat="1" applyFill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vertical="center"/>
    </xf>
    <xf numFmtId="0" fontId="26" fillId="0" borderId="0" xfId="0" applyFont="1" applyFill="1" applyAlignment="1">
      <alignment vertical="center" shrinkToFit="1"/>
    </xf>
    <xf numFmtId="0" fontId="20" fillId="6" borderId="18" xfId="0" applyFont="1" applyFill="1" applyBorder="1" applyAlignment="1">
      <alignment horizontal="center"/>
    </xf>
    <xf numFmtId="0" fontId="20" fillId="6" borderId="7" xfId="0" applyFont="1" applyFill="1" applyBorder="1" applyAlignment="1">
      <alignment horizontal="center"/>
    </xf>
    <xf numFmtId="0" fontId="20" fillId="6" borderId="8" xfId="0" applyFont="1" applyFill="1" applyBorder="1" applyAlignment="1">
      <alignment horizontal="center"/>
    </xf>
    <xf numFmtId="0" fontId="20" fillId="6" borderId="29" xfId="0" applyFont="1" applyFill="1" applyBorder="1" applyAlignment="1">
      <alignment horizontal="center" vertical="center"/>
    </xf>
    <xf numFmtId="0" fontId="20" fillId="6" borderId="30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7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20" fillId="6" borderId="24" xfId="0" applyFont="1" applyFill="1" applyBorder="1" applyAlignment="1">
      <alignment horizontal="center"/>
    </xf>
  </cellXfs>
  <cellStyles count="13">
    <cellStyle name="百分比" xfId="11" builtinId="5"/>
    <cellStyle name="百分比 2" xfId="6" xr:uid="{77B60848-B4F9-46E6-B424-64CF5BEEEC7E}"/>
    <cellStyle name="标题 1" xfId="7" builtinId="16"/>
    <cellStyle name="常规" xfId="0" builtinId="0"/>
    <cellStyle name="常规 2 2 2" xfId="10" xr:uid="{5B14CE91-462F-4D85-A961-18F500AEC1BA}"/>
    <cellStyle name="常规 4" xfId="4" xr:uid="{208B3D2A-E053-4547-9F89-A1BC478E6DFA}"/>
    <cellStyle name="超链接" xfId="12" builtinId="8"/>
    <cellStyle name="千位分隔" xfId="1" builtinId="3"/>
    <cellStyle name="千位分隔 3" xfId="5" xr:uid="{7B5AF4EA-6D00-4E5F-9FAF-09BFAF34E007}"/>
    <cellStyle name="输出" xfId="8" builtinId="21"/>
    <cellStyle name="输入" xfId="2" builtinId="20"/>
    <cellStyle name="着色 1" xfId="3" builtinId="29"/>
    <cellStyle name="注释" xfId="9" builtinId="1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0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0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zh-CN" altLang="en-US"/>
              <a:t>时间序列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05405101262128E-2"/>
          <c:y val="0.15529987855995611"/>
          <c:w val="0.8889741678125106"/>
          <c:h val="0.75392695316070568"/>
        </c:manualLayout>
      </c:layout>
      <c:lineChart>
        <c:grouping val="standard"/>
        <c:varyColors val="0"/>
        <c:ser>
          <c:idx val="0"/>
          <c:order val="0"/>
          <c:tx>
            <c:strRef>
              <c:f>时间序列预测工具!$D$8</c:f>
              <c:strCache>
                <c:ptCount val="1"/>
                <c:pt idx="0">
                  <c:v>实际值</c:v>
                </c:pt>
              </c:strCache>
            </c:strRef>
          </c:tx>
          <c:spPr>
            <a:ln w="19050">
              <a:solidFill>
                <a:srgbClr val="ED7D31"/>
              </a:solidFill>
            </a:ln>
          </c:spPr>
          <c:marker>
            <c:symbol val="circle"/>
            <c:size val="7"/>
            <c:spPr>
              <a:solidFill>
                <a:srgbClr val="FF0000"/>
              </a:solidFill>
              <a:ln w="0">
                <a:solidFill>
                  <a:srgbClr val="FF0000"/>
                </a:solidFill>
              </a:ln>
            </c:spPr>
          </c:marker>
          <c:cat>
            <c:strRef>
              <c:f>[0]!xlable</c:f>
              <c:strCache>
                <c:ptCount val="94"/>
                <c:pt idx="1">
                  <c:v>2012</c:v>
                </c:pt>
                <c:pt idx="2">
                  <c:v>2012</c:v>
                </c:pt>
                <c:pt idx="3">
                  <c:v>2012</c:v>
                </c:pt>
                <c:pt idx="4">
                  <c:v>2012</c:v>
                </c:pt>
                <c:pt idx="5">
                  <c:v>2012</c:v>
                </c:pt>
                <c:pt idx="6">
                  <c:v>2012</c:v>
                </c:pt>
                <c:pt idx="7">
                  <c:v>2012</c:v>
                </c:pt>
                <c:pt idx="8">
                  <c:v>2012</c:v>
                </c:pt>
                <c:pt idx="9">
                  <c:v>2012</c:v>
                </c:pt>
                <c:pt idx="10">
                  <c:v>2012</c:v>
                </c:pt>
                <c:pt idx="13">
                  <c:v>2013</c:v>
                </c:pt>
                <c:pt idx="14">
                  <c:v>2013</c:v>
                </c:pt>
                <c:pt idx="15">
                  <c:v>2013</c:v>
                </c:pt>
                <c:pt idx="16">
                  <c:v>2013</c:v>
                </c:pt>
                <c:pt idx="17">
                  <c:v>2013</c:v>
                </c:pt>
                <c:pt idx="18">
                  <c:v>2013</c:v>
                </c:pt>
                <c:pt idx="19">
                  <c:v>2013</c:v>
                </c:pt>
                <c:pt idx="20">
                  <c:v>2013</c:v>
                </c:pt>
                <c:pt idx="21">
                  <c:v>2013</c:v>
                </c:pt>
                <c:pt idx="22">
                  <c:v>2013</c:v>
                </c:pt>
                <c:pt idx="25">
                  <c:v>2014</c:v>
                </c:pt>
                <c:pt idx="26">
                  <c:v>2014</c:v>
                </c:pt>
                <c:pt idx="27">
                  <c:v>2014</c:v>
                </c:pt>
                <c:pt idx="28">
                  <c:v>2014</c:v>
                </c:pt>
                <c:pt idx="29">
                  <c:v>2014</c:v>
                </c:pt>
                <c:pt idx="30">
                  <c:v>2014</c:v>
                </c:pt>
                <c:pt idx="31">
                  <c:v>2014</c:v>
                </c:pt>
                <c:pt idx="32">
                  <c:v>2014</c:v>
                </c:pt>
                <c:pt idx="33">
                  <c:v>2014</c:v>
                </c:pt>
                <c:pt idx="34">
                  <c:v>2014</c:v>
                </c:pt>
                <c:pt idx="37">
                  <c:v>2015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2015</c:v>
                </c:pt>
                <c:pt idx="45">
                  <c:v>2015</c:v>
                </c:pt>
                <c:pt idx="46">
                  <c:v>2015</c:v>
                </c:pt>
                <c:pt idx="49">
                  <c:v>2016</c:v>
                </c:pt>
                <c:pt idx="50">
                  <c:v>2016</c:v>
                </c:pt>
                <c:pt idx="51">
                  <c:v>2016</c:v>
                </c:pt>
                <c:pt idx="52">
                  <c:v>2016</c:v>
                </c:pt>
                <c:pt idx="53">
                  <c:v>2016</c:v>
                </c:pt>
                <c:pt idx="54">
                  <c:v>2016</c:v>
                </c:pt>
                <c:pt idx="55">
                  <c:v>2016</c:v>
                </c:pt>
                <c:pt idx="56">
                  <c:v>2016</c:v>
                </c:pt>
                <c:pt idx="57">
                  <c:v>2016</c:v>
                </c:pt>
                <c:pt idx="58">
                  <c:v>2016</c:v>
                </c:pt>
                <c:pt idx="61">
                  <c:v>2017</c:v>
                </c:pt>
                <c:pt idx="62">
                  <c:v>2017</c:v>
                </c:pt>
                <c:pt idx="63">
                  <c:v>2017</c:v>
                </c:pt>
                <c:pt idx="64">
                  <c:v>2017</c:v>
                </c:pt>
                <c:pt idx="65">
                  <c:v>2017</c:v>
                </c:pt>
                <c:pt idx="66">
                  <c:v>2017</c:v>
                </c:pt>
                <c:pt idx="67">
                  <c:v>2017</c:v>
                </c:pt>
                <c:pt idx="68">
                  <c:v>2017</c:v>
                </c:pt>
                <c:pt idx="69">
                  <c:v>2017</c:v>
                </c:pt>
                <c:pt idx="70">
                  <c:v>2017</c:v>
                </c:pt>
                <c:pt idx="73">
                  <c:v>2018</c:v>
                </c:pt>
                <c:pt idx="74">
                  <c:v>2018</c:v>
                </c:pt>
                <c:pt idx="75">
                  <c:v>2018</c:v>
                </c:pt>
                <c:pt idx="76">
                  <c:v>2018</c:v>
                </c:pt>
                <c:pt idx="77">
                  <c:v>2018</c:v>
                </c:pt>
                <c:pt idx="78">
                  <c:v>2018</c:v>
                </c:pt>
                <c:pt idx="79">
                  <c:v>2018</c:v>
                </c:pt>
                <c:pt idx="80">
                  <c:v>2018</c:v>
                </c:pt>
                <c:pt idx="81">
                  <c:v>2018</c:v>
                </c:pt>
                <c:pt idx="82">
                  <c:v>2018</c:v>
                </c:pt>
                <c:pt idx="85">
                  <c:v>2019</c:v>
                </c:pt>
                <c:pt idx="86">
                  <c:v>2019</c:v>
                </c:pt>
                <c:pt idx="87">
                  <c:v>2019</c:v>
                </c:pt>
                <c:pt idx="88">
                  <c:v>2019</c:v>
                </c:pt>
                <c:pt idx="89">
                  <c:v>2019</c:v>
                </c:pt>
                <c:pt idx="90">
                  <c:v>2019</c:v>
                </c:pt>
                <c:pt idx="91">
                  <c:v>2019</c:v>
                </c:pt>
                <c:pt idx="92">
                  <c:v>2019</c:v>
                </c:pt>
                <c:pt idx="93">
                  <c:v>2019</c:v>
                </c:pt>
              </c:strCache>
            </c:strRef>
          </c:cat>
          <c:val>
            <c:numRef>
              <c:f>[0]!Actual</c:f>
              <c:numCache>
                <c:formatCode>_(* #,##0_);_(* \(#,##0\);_(* "-"_);_(@_)</c:formatCode>
                <c:ptCount val="94"/>
                <c:pt idx="0">
                  <c:v>3596.1</c:v>
                </c:pt>
                <c:pt idx="1">
                  <c:v>3324.4</c:v>
                </c:pt>
                <c:pt idx="2">
                  <c:v>3114.8</c:v>
                </c:pt>
                <c:pt idx="3">
                  <c:v>3052.2</c:v>
                </c:pt>
                <c:pt idx="4">
                  <c:v>3202.1000000000008</c:v>
                </c:pt>
                <c:pt idx="5">
                  <c:v>3158.8000000000006</c:v>
                </c:pt>
                <c:pt idx="6">
                  <c:v>3096.6000000000004</c:v>
                </c:pt>
                <c:pt idx="7">
                  <c:v>3143.7000000000003</c:v>
                </c:pt>
                <c:pt idx="8">
                  <c:v>3422.400000000001</c:v>
                </c:pt>
                <c:pt idx="9">
                  <c:v>3661.9000000000005</c:v>
                </c:pt>
                <c:pt idx="10">
                  <c:v>3733.1000000000004</c:v>
                </c:pt>
                <c:pt idx="11">
                  <c:v>4404.4000000000005</c:v>
                </c:pt>
                <c:pt idx="12">
                  <c:v>3907.4000000000005</c:v>
                </c:pt>
                <c:pt idx="13">
                  <c:v>3706.400000000001</c:v>
                </c:pt>
                <c:pt idx="14">
                  <c:v>3494.8000000000006</c:v>
                </c:pt>
                <c:pt idx="15">
                  <c:v>3406.900000000001</c:v>
                </c:pt>
                <c:pt idx="16">
                  <c:v>3463.3</c:v>
                </c:pt>
                <c:pt idx="17">
                  <c:v>3576.9000000000005</c:v>
                </c:pt>
                <c:pt idx="18">
                  <c:v>3562.1000000000004</c:v>
                </c:pt>
                <c:pt idx="19">
                  <c:v>3609.6000000000008</c:v>
                </c:pt>
                <c:pt idx="20">
                  <c:v>3971.8000000000006</c:v>
                </c:pt>
                <c:pt idx="21">
                  <c:v>4204.3999999999996</c:v>
                </c:pt>
                <c:pt idx="22">
                  <c:v>4202.7000000000007</c:v>
                </c:pt>
                <c:pt idx="23">
                  <c:v>4735.7</c:v>
                </c:pt>
                <c:pt idx="24">
                  <c:v>4569.3999999999996</c:v>
                </c:pt>
                <c:pt idx="25">
                  <c:v>4211.4000000000005</c:v>
                </c:pt>
                <c:pt idx="26">
                  <c:v>4049.8000000000011</c:v>
                </c:pt>
                <c:pt idx="27">
                  <c:v>4001.8000000000006</c:v>
                </c:pt>
                <c:pt idx="28">
                  <c:v>4166.1000000000004</c:v>
                </c:pt>
                <c:pt idx="29">
                  <c:v>4250.7</c:v>
                </c:pt>
                <c:pt idx="30">
                  <c:v>4209.2000000000016</c:v>
                </c:pt>
                <c:pt idx="31">
                  <c:v>4262.7000000000007</c:v>
                </c:pt>
                <c:pt idx="32">
                  <c:v>4717.7</c:v>
                </c:pt>
                <c:pt idx="33">
                  <c:v>4983.2000000000007</c:v>
                </c:pt>
                <c:pt idx="34">
                  <c:v>4965.6000000000013</c:v>
                </c:pt>
                <c:pt idx="35">
                  <c:v>5562.5000000000009</c:v>
                </c:pt>
                <c:pt idx="36">
                  <c:v>5300.9</c:v>
                </c:pt>
                <c:pt idx="37">
                  <c:v>5012.2000000000007</c:v>
                </c:pt>
                <c:pt idx="38">
                  <c:v>4799.1000000000013</c:v>
                </c:pt>
                <c:pt idx="39">
                  <c:v>4663.3</c:v>
                </c:pt>
                <c:pt idx="40">
                  <c:v>4899.2</c:v>
                </c:pt>
                <c:pt idx="41">
                  <c:v>4935.0000000000009</c:v>
                </c:pt>
                <c:pt idx="42">
                  <c:v>4934.9000000000005</c:v>
                </c:pt>
                <c:pt idx="43">
                  <c:v>5040.8000000000011</c:v>
                </c:pt>
                <c:pt idx="44">
                  <c:v>5495.2</c:v>
                </c:pt>
                <c:pt idx="45">
                  <c:v>5846.6</c:v>
                </c:pt>
                <c:pt idx="46">
                  <c:v>5909.0000000000009</c:v>
                </c:pt>
                <c:pt idx="47">
                  <c:v>6850.4000000000005</c:v>
                </c:pt>
                <c:pt idx="48">
                  <c:v>6641.6000000000013</c:v>
                </c:pt>
                <c:pt idx="49">
                  <c:v>6001.9000000000015</c:v>
                </c:pt>
                <c:pt idx="50">
                  <c:v>5796.7</c:v>
                </c:pt>
                <c:pt idx="51">
                  <c:v>5774.6</c:v>
                </c:pt>
                <c:pt idx="52">
                  <c:v>6175.6000000000013</c:v>
                </c:pt>
                <c:pt idx="53">
                  <c:v>6057.8</c:v>
                </c:pt>
                <c:pt idx="54">
                  <c:v>6012.2000000000007</c:v>
                </c:pt>
                <c:pt idx="55">
                  <c:v>6077.4000000000015</c:v>
                </c:pt>
                <c:pt idx="56">
                  <c:v>6553.6</c:v>
                </c:pt>
                <c:pt idx="57">
                  <c:v>6997.7000000000007</c:v>
                </c:pt>
                <c:pt idx="58">
                  <c:v>6821.7000000000007</c:v>
                </c:pt>
                <c:pt idx="59">
                  <c:v>7499.2000000000007</c:v>
                </c:pt>
                <c:pt idx="60">
                  <c:v>7488.3</c:v>
                </c:pt>
                <c:pt idx="61">
                  <c:v>7013.7000000000016</c:v>
                </c:pt>
                <c:pt idx="62">
                  <c:v>6685.8</c:v>
                </c:pt>
                <c:pt idx="63">
                  <c:v>6672.5000000000009</c:v>
                </c:pt>
                <c:pt idx="64">
                  <c:v>7157.5000000000009</c:v>
                </c:pt>
                <c:pt idx="65">
                  <c:v>7026.0000000000009</c:v>
                </c:pt>
                <c:pt idx="66">
                  <c:v>6998.2000000000016</c:v>
                </c:pt>
                <c:pt idx="67">
                  <c:v>7116.6000000000022</c:v>
                </c:pt>
                <c:pt idx="68">
                  <c:v>7668.4000000000015</c:v>
                </c:pt>
                <c:pt idx="69">
                  <c:v>8263.0000000000018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3-4F6E-8DBC-E8AB11D99C4E}"/>
            </c:ext>
          </c:extLst>
        </c:ser>
        <c:ser>
          <c:idx val="1"/>
          <c:order val="1"/>
          <c:tx>
            <c:strRef>
              <c:f>时间序列预测工具!$K$8</c:f>
              <c:strCache>
                <c:ptCount val="1"/>
                <c:pt idx="0">
                  <c:v>预测结果</c:v>
                </c:pt>
              </c:strCache>
            </c:strRef>
          </c:tx>
          <c:spPr>
            <a:ln w="19050" cap="sq">
              <a:solidFill>
                <a:sysClr val="window" lastClr="FFFFFF">
                  <a:lumMod val="75000"/>
                </a:sysClr>
              </a:solidFill>
            </a:ln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</c:spPr>
          </c:marker>
          <c:cat>
            <c:strRef>
              <c:f>[0]!xlable</c:f>
              <c:strCache>
                <c:ptCount val="94"/>
                <c:pt idx="1">
                  <c:v>2012</c:v>
                </c:pt>
                <c:pt idx="2">
                  <c:v>2012</c:v>
                </c:pt>
                <c:pt idx="3">
                  <c:v>2012</c:v>
                </c:pt>
                <c:pt idx="4">
                  <c:v>2012</c:v>
                </c:pt>
                <c:pt idx="5">
                  <c:v>2012</c:v>
                </c:pt>
                <c:pt idx="6">
                  <c:v>2012</c:v>
                </c:pt>
                <c:pt idx="7">
                  <c:v>2012</c:v>
                </c:pt>
                <c:pt idx="8">
                  <c:v>2012</c:v>
                </c:pt>
                <c:pt idx="9">
                  <c:v>2012</c:v>
                </c:pt>
                <c:pt idx="10">
                  <c:v>2012</c:v>
                </c:pt>
                <c:pt idx="13">
                  <c:v>2013</c:v>
                </c:pt>
                <c:pt idx="14">
                  <c:v>2013</c:v>
                </c:pt>
                <c:pt idx="15">
                  <c:v>2013</c:v>
                </c:pt>
                <c:pt idx="16">
                  <c:v>2013</c:v>
                </c:pt>
                <c:pt idx="17">
                  <c:v>2013</c:v>
                </c:pt>
                <c:pt idx="18">
                  <c:v>2013</c:v>
                </c:pt>
                <c:pt idx="19">
                  <c:v>2013</c:v>
                </c:pt>
                <c:pt idx="20">
                  <c:v>2013</c:v>
                </c:pt>
                <c:pt idx="21">
                  <c:v>2013</c:v>
                </c:pt>
                <c:pt idx="22">
                  <c:v>2013</c:v>
                </c:pt>
                <c:pt idx="25">
                  <c:v>2014</c:v>
                </c:pt>
                <c:pt idx="26">
                  <c:v>2014</c:v>
                </c:pt>
                <c:pt idx="27">
                  <c:v>2014</c:v>
                </c:pt>
                <c:pt idx="28">
                  <c:v>2014</c:v>
                </c:pt>
                <c:pt idx="29">
                  <c:v>2014</c:v>
                </c:pt>
                <c:pt idx="30">
                  <c:v>2014</c:v>
                </c:pt>
                <c:pt idx="31">
                  <c:v>2014</c:v>
                </c:pt>
                <c:pt idx="32">
                  <c:v>2014</c:v>
                </c:pt>
                <c:pt idx="33">
                  <c:v>2014</c:v>
                </c:pt>
                <c:pt idx="34">
                  <c:v>2014</c:v>
                </c:pt>
                <c:pt idx="37">
                  <c:v>2015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2015</c:v>
                </c:pt>
                <c:pt idx="45">
                  <c:v>2015</c:v>
                </c:pt>
                <c:pt idx="46">
                  <c:v>2015</c:v>
                </c:pt>
                <c:pt idx="49">
                  <c:v>2016</c:v>
                </c:pt>
                <c:pt idx="50">
                  <c:v>2016</c:v>
                </c:pt>
                <c:pt idx="51">
                  <c:v>2016</c:v>
                </c:pt>
                <c:pt idx="52">
                  <c:v>2016</c:v>
                </c:pt>
                <c:pt idx="53">
                  <c:v>2016</c:v>
                </c:pt>
                <c:pt idx="54">
                  <c:v>2016</c:v>
                </c:pt>
                <c:pt idx="55">
                  <c:v>2016</c:v>
                </c:pt>
                <c:pt idx="56">
                  <c:v>2016</c:v>
                </c:pt>
                <c:pt idx="57">
                  <c:v>2016</c:v>
                </c:pt>
                <c:pt idx="58">
                  <c:v>2016</c:v>
                </c:pt>
                <c:pt idx="61">
                  <c:v>2017</c:v>
                </c:pt>
                <c:pt idx="62">
                  <c:v>2017</c:v>
                </c:pt>
                <c:pt idx="63">
                  <c:v>2017</c:v>
                </c:pt>
                <c:pt idx="64">
                  <c:v>2017</c:v>
                </c:pt>
                <c:pt idx="65">
                  <c:v>2017</c:v>
                </c:pt>
                <c:pt idx="66">
                  <c:v>2017</c:v>
                </c:pt>
                <c:pt idx="67">
                  <c:v>2017</c:v>
                </c:pt>
                <c:pt idx="68">
                  <c:v>2017</c:v>
                </c:pt>
                <c:pt idx="69">
                  <c:v>2017</c:v>
                </c:pt>
                <c:pt idx="70">
                  <c:v>2017</c:v>
                </c:pt>
                <c:pt idx="73">
                  <c:v>2018</c:v>
                </c:pt>
                <c:pt idx="74">
                  <c:v>2018</c:v>
                </c:pt>
                <c:pt idx="75">
                  <c:v>2018</c:v>
                </c:pt>
                <c:pt idx="76">
                  <c:v>2018</c:v>
                </c:pt>
                <c:pt idx="77">
                  <c:v>2018</c:v>
                </c:pt>
                <c:pt idx="78">
                  <c:v>2018</c:v>
                </c:pt>
                <c:pt idx="79">
                  <c:v>2018</c:v>
                </c:pt>
                <c:pt idx="80">
                  <c:v>2018</c:v>
                </c:pt>
                <c:pt idx="81">
                  <c:v>2018</c:v>
                </c:pt>
                <c:pt idx="82">
                  <c:v>2018</c:v>
                </c:pt>
                <c:pt idx="85">
                  <c:v>2019</c:v>
                </c:pt>
                <c:pt idx="86">
                  <c:v>2019</c:v>
                </c:pt>
                <c:pt idx="87">
                  <c:v>2019</c:v>
                </c:pt>
                <c:pt idx="88">
                  <c:v>2019</c:v>
                </c:pt>
                <c:pt idx="89">
                  <c:v>2019</c:v>
                </c:pt>
                <c:pt idx="90">
                  <c:v>2019</c:v>
                </c:pt>
                <c:pt idx="91">
                  <c:v>2019</c:v>
                </c:pt>
                <c:pt idx="92">
                  <c:v>2019</c:v>
                </c:pt>
                <c:pt idx="93">
                  <c:v>2019</c:v>
                </c:pt>
              </c:strCache>
            </c:strRef>
          </c:cat>
          <c:val>
            <c:numRef>
              <c:f>[0]!Forcast</c:f>
              <c:numCache>
                <c:formatCode>_ * #,##0_ ;_ * \-#,##0_ ;_ * "-"??_ ;_ @_ 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8263.0000000000018</c:v>
                </c:pt>
                <c:pt idx="70">
                  <c:v>8153.3274633379669</c:v>
                </c:pt>
                <c:pt idx="71">
                  <c:v>9186.7578236989375</c:v>
                </c:pt>
                <c:pt idx="72">
                  <c:v>8919.7617502983194</c:v>
                </c:pt>
                <c:pt idx="73">
                  <c:v>8268.2173938694323</c:v>
                </c:pt>
                <c:pt idx="74">
                  <c:v>7900.9990680182063</c:v>
                </c:pt>
                <c:pt idx="75">
                  <c:v>7788.7878820457272</c:v>
                </c:pt>
                <c:pt idx="76">
                  <c:v>8244.6411070783051</c:v>
                </c:pt>
                <c:pt idx="77">
                  <c:v>8189.8913082205099</c:v>
                </c:pt>
                <c:pt idx="78">
                  <c:v>8154.7467004845121</c:v>
                </c:pt>
                <c:pt idx="79">
                  <c:v>8290.5100720250666</c:v>
                </c:pt>
                <c:pt idx="80">
                  <c:v>9006.7951058194631</c:v>
                </c:pt>
                <c:pt idx="81">
                  <c:v>9618.9470115458062</c:v>
                </c:pt>
                <c:pt idx="82">
                  <c:v>9578.2783837035113</c:v>
                </c:pt>
                <c:pt idx="83">
                  <c:v>10792.320592386737</c:v>
                </c:pt>
                <c:pt idx="84">
                  <c:v>10478.66181566199</c:v>
                </c:pt>
                <c:pt idx="85">
                  <c:v>9713.2475411503292</c:v>
                </c:pt>
                <c:pt idx="86">
                  <c:v>9281.8507441473284</c:v>
                </c:pt>
                <c:pt idx="87">
                  <c:v>9150.0284934352367</c:v>
                </c:pt>
                <c:pt idx="88">
                  <c:v>9685.5508444145671</c:v>
                </c:pt>
                <c:pt idx="89">
                  <c:v>9621.2324643090469</c:v>
                </c:pt>
                <c:pt idx="90">
                  <c:v>9579.9456598607885</c:v>
                </c:pt>
                <c:pt idx="91">
                  <c:v>9739.4362939329349</c:v>
                </c:pt>
                <c:pt idx="92">
                  <c:v>10580.905925394834</c:v>
                </c:pt>
                <c:pt idx="93">
                  <c:v>11300.043160165129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3-4F6E-8DBC-E8AB11D9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929616"/>
        <c:axId val="364617560"/>
      </c:lineChart>
      <c:catAx>
        <c:axId val="456929616"/>
        <c:scaling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64617560"/>
        <c:crosses val="autoZero"/>
        <c:auto val="1"/>
        <c:lblAlgn val="ctr"/>
        <c:lblOffset val="100"/>
        <c:tickLblSkip val="6"/>
        <c:tickMarkSkip val="12"/>
        <c:noMultiLvlLbl val="1"/>
      </c:catAx>
      <c:valAx>
        <c:axId val="364617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569296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13538424748823"/>
          <c:y val="0.71418445828599786"/>
          <c:w val="0.14515000298915812"/>
          <c:h val="0.12786670322926053"/>
        </c:manualLayout>
      </c:layout>
      <c:overlay val="0"/>
    </c:legend>
    <c:plotVisOnly val="0"/>
    <c:dispBlanksAs val="gap"/>
    <c:showDLblsOverMax val="0"/>
  </c:chart>
  <c:spPr>
    <a:solidFill>
      <a:sysClr val="window" lastClr="FFFFFF"/>
    </a:solidFill>
    <a:ln w="9525">
      <a:solidFill>
        <a:sysClr val="window" lastClr="FFFFFF">
          <a:lumMod val="65000"/>
        </a:sys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0</xdr:rowOff>
        </xdr:from>
        <xdr:to>
          <xdr:col>10</xdr:col>
          <xdr:colOff>838200</xdr:colOff>
          <xdr:row>4</xdr:row>
          <xdr:rowOff>28575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开始预测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7</xdr:row>
      <xdr:rowOff>19050</xdr:rowOff>
    </xdr:from>
    <xdr:to>
      <xdr:col>25</xdr:col>
      <xdr:colOff>433389</xdr:colOff>
      <xdr:row>23</xdr:row>
      <xdr:rowOff>38100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29992;Excel&#25171;&#36896;&#20225;&#19994;&#32423;&#30340;&#25968;&#25454;&#20998;&#26512;&#25253;&#34920;\&#31532;14&#37096;&#20998;%20&#12304;&#25253;&#34920;&#26696;&#20363;&#12305;&#38144;&#37327;&#39044;&#27979;&#21450;&#30446;&#26631;&#21046;&#23450;&#65288;&#20934;&#22791;&#26448;&#26009;&#65289;\01-&#24635;&#20307;&#20171;&#32461;\&#38144;&#37327;&#39044;&#27979;&#21450;&#30446;&#26631;&#21046;&#234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知识点"/>
      <sheetName val="时间序列预测工具"/>
      <sheetName val="销售数据"/>
      <sheetName val="汇总"/>
      <sheetName val="东区"/>
      <sheetName val="南区"/>
      <sheetName val="西区"/>
      <sheetName val="北区"/>
    </sheetNames>
    <sheetDataSet>
      <sheetData sheetId="0"/>
      <sheetData sheetId="1">
        <row r="4">
          <cell r="C4">
            <v>70</v>
          </cell>
        </row>
        <row r="5">
          <cell r="C5">
            <v>14</v>
          </cell>
        </row>
        <row r="9">
          <cell r="D9">
            <v>3596.1</v>
          </cell>
          <cell r="J9"/>
          <cell r="K9" t="e">
            <v>#N/A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55BC12-3726-4145-805A-37C25F4D2C6B}" name="知识点_3" displayName="知识点_3" ref="B4:F18" totalsRowShown="0" headerRowDxfId="6" dataDxfId="5">
  <tableColumns count="5">
    <tableColumn id="1" xr3:uid="{F5A0E7F6-7705-4F95-9B4B-319B1C87922D}" name="类型" dataDxfId="4"/>
    <tableColumn id="3" xr3:uid="{C8187CD8-C45D-4B28-837C-83FEAB8DDC1F}" name="描述" dataDxfId="3"/>
    <tableColumn id="4" xr3:uid="{D1214067-E959-4500-9E51-D87ED10141A6}" name="视频教程" dataDxfId="2" dataCellStyle="超链接">
      <calculatedColumnFormula>HYPERLINK(知识点_3[[#This Row],[地址]],"看视频")</calculatedColumnFormula>
    </tableColumn>
    <tableColumn id="2" xr3:uid="{137058E1-BAC2-4D0D-9E8A-45F4757FF6B4}" name="地址" dataDxfId="1"/>
    <tableColumn id="5" xr3:uid="{25AD06A1-515C-4827-9B2E-528AD0E88FA9}" name="备注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B6924-1DCF-4E7C-A9DE-524DB146FEC5}">
  <dimension ref="B1:F18"/>
  <sheetViews>
    <sheetView showGridLines="0" workbookViewId="0">
      <selection activeCell="C23" sqref="C23"/>
    </sheetView>
  </sheetViews>
  <sheetFormatPr defaultRowHeight="14.25" x14ac:dyDescent="0.2"/>
  <cols>
    <col min="1" max="1" width="1.75" customWidth="1"/>
    <col min="2" max="2" width="10" bestFit="1" customWidth="1"/>
    <col min="3" max="3" width="35.25" bestFit="1" customWidth="1"/>
  </cols>
  <sheetData>
    <row r="1" spans="2:6" ht="6.75" customHeight="1" x14ac:dyDescent="0.2"/>
    <row r="2" spans="2:6" ht="20.25" thickBot="1" x14ac:dyDescent="0.35">
      <c r="B2" s="104" t="s">
        <v>59</v>
      </c>
      <c r="C2" s="104"/>
    </row>
    <row r="3" spans="2:6" ht="6.75" customHeight="1" thickTop="1" x14ac:dyDescent="0.2"/>
    <row r="4" spans="2:6" ht="16.5" x14ac:dyDescent="0.2">
      <c r="B4" s="105" t="s">
        <v>60</v>
      </c>
      <c r="C4" s="106" t="s">
        <v>61</v>
      </c>
      <c r="D4" s="105" t="s">
        <v>62</v>
      </c>
      <c r="E4" s="107" t="s">
        <v>63</v>
      </c>
      <c r="F4" s="105" t="s">
        <v>64</v>
      </c>
    </row>
    <row r="5" spans="2:6" ht="16.5" x14ac:dyDescent="0.2">
      <c r="B5" s="105" t="s">
        <v>65</v>
      </c>
      <c r="C5" s="106" t="s">
        <v>66</v>
      </c>
      <c r="D5" s="108" t="str">
        <f>HYPERLINK(知识点_3[[#This Row],[地址]],"看视频")</f>
        <v>看视频</v>
      </c>
      <c r="E5" s="109" t="s">
        <v>67</v>
      </c>
      <c r="F5" s="105"/>
    </row>
    <row r="6" spans="2:6" ht="16.5" x14ac:dyDescent="0.2">
      <c r="B6" s="105" t="s">
        <v>68</v>
      </c>
      <c r="C6" s="110" t="s">
        <v>69</v>
      </c>
      <c r="D6" s="108" t="str">
        <f>HYPERLINK(知识点_3[[#This Row],[地址]],"看视频")</f>
        <v>看视频</v>
      </c>
      <c r="E6" s="109" t="s">
        <v>67</v>
      </c>
      <c r="F6" s="105"/>
    </row>
    <row r="7" spans="2:6" ht="16.5" x14ac:dyDescent="0.2">
      <c r="B7" s="105" t="s">
        <v>70</v>
      </c>
      <c r="C7" s="110" t="s">
        <v>71</v>
      </c>
      <c r="D7" s="108" t="str">
        <f>HYPERLINK(知识点_3[[#This Row],[地址]],"看视频")</f>
        <v>看视频</v>
      </c>
      <c r="E7" s="109" t="s">
        <v>67</v>
      </c>
      <c r="F7" s="105"/>
    </row>
    <row r="8" spans="2:6" ht="16.5" x14ac:dyDescent="0.2">
      <c r="B8" s="105" t="s">
        <v>72</v>
      </c>
      <c r="C8" s="110" t="s">
        <v>73</v>
      </c>
      <c r="D8" s="108" t="str">
        <f>HYPERLINK(知识点_3[[#This Row],[地址]],"看视频")</f>
        <v>看视频</v>
      </c>
      <c r="E8" s="109" t="s">
        <v>67</v>
      </c>
      <c r="F8" s="105"/>
    </row>
    <row r="9" spans="2:6" ht="16.5" x14ac:dyDescent="0.2">
      <c r="B9" s="105" t="s">
        <v>74</v>
      </c>
      <c r="C9" s="110" t="s">
        <v>75</v>
      </c>
      <c r="D9" s="108" t="str">
        <f>HYPERLINK(知识点_3[[#This Row],[地址]],"看视频")</f>
        <v>看视频</v>
      </c>
      <c r="E9" s="109" t="s">
        <v>67</v>
      </c>
      <c r="F9" s="105"/>
    </row>
    <row r="10" spans="2:6" ht="16.5" x14ac:dyDescent="0.2">
      <c r="B10" s="105" t="s">
        <v>76</v>
      </c>
      <c r="C10" s="110" t="s">
        <v>77</v>
      </c>
      <c r="D10" s="111" t="str">
        <f>HYPERLINK(知识点_3[[#This Row],[地址]],"看视频")</f>
        <v>看视频</v>
      </c>
      <c r="E10" s="109" t="s">
        <v>67</v>
      </c>
      <c r="F10" s="105"/>
    </row>
    <row r="11" spans="2:6" ht="16.5" x14ac:dyDescent="0.2">
      <c r="B11" s="105" t="s">
        <v>78</v>
      </c>
      <c r="C11" s="110" t="s">
        <v>79</v>
      </c>
      <c r="D11" s="108" t="str">
        <f>HYPERLINK(知识点_3[[#This Row],[地址]],"看视频")</f>
        <v>看视频</v>
      </c>
      <c r="E11" s="109" t="s">
        <v>67</v>
      </c>
      <c r="F11" s="105"/>
    </row>
    <row r="12" spans="2:6" ht="16.5" x14ac:dyDescent="0.2">
      <c r="B12" s="105" t="s">
        <v>78</v>
      </c>
      <c r="C12" s="110" t="s">
        <v>80</v>
      </c>
      <c r="D12" s="108" t="str">
        <f>HYPERLINK(知识点_3[[#This Row],[地址]],"看视频")</f>
        <v>看视频</v>
      </c>
      <c r="E12" s="109" t="s">
        <v>81</v>
      </c>
      <c r="F12" s="105"/>
    </row>
    <row r="13" spans="2:6" ht="16.5" x14ac:dyDescent="0.2">
      <c r="B13" s="105" t="s">
        <v>78</v>
      </c>
      <c r="C13" s="110" t="s">
        <v>82</v>
      </c>
      <c r="D13" s="108" t="str">
        <f>HYPERLINK(知识点_3[[#This Row],[地址]],"看视频")</f>
        <v>看视频</v>
      </c>
      <c r="E13" s="109" t="s">
        <v>83</v>
      </c>
      <c r="F13" s="105"/>
    </row>
    <row r="14" spans="2:6" ht="16.5" x14ac:dyDescent="0.2">
      <c r="B14" s="105" t="s">
        <v>78</v>
      </c>
      <c r="C14" s="113" t="s">
        <v>84</v>
      </c>
      <c r="D14" s="108" t="str">
        <f>HYPERLINK(知识点_3[[#This Row],[地址]],"看视频")</f>
        <v>看视频</v>
      </c>
      <c r="E14" s="114" t="s">
        <v>85</v>
      </c>
      <c r="F14" s="112"/>
    </row>
    <row r="15" spans="2:6" ht="16.5" x14ac:dyDescent="0.2">
      <c r="B15" s="105" t="s">
        <v>78</v>
      </c>
      <c r="C15" s="113" t="s">
        <v>86</v>
      </c>
      <c r="D15" s="111" t="str">
        <f>HYPERLINK(知识点_3[[#This Row],[地址]],"看视频")</f>
        <v>看视频</v>
      </c>
      <c r="E15" s="114" t="s">
        <v>87</v>
      </c>
      <c r="F15" s="112"/>
    </row>
    <row r="16" spans="2:6" ht="16.5" x14ac:dyDescent="0.2">
      <c r="B16" s="105" t="s">
        <v>78</v>
      </c>
      <c r="C16" s="113" t="s">
        <v>89</v>
      </c>
      <c r="D16" s="111" t="str">
        <f>HYPERLINK(知识点_3[[#This Row],[地址]],"看视频")</f>
        <v>看视频</v>
      </c>
      <c r="E16" s="114" t="s">
        <v>88</v>
      </c>
      <c r="F16" s="112"/>
    </row>
    <row r="17" spans="2:6" ht="16.5" x14ac:dyDescent="0.2">
      <c r="B17" s="105" t="s">
        <v>78</v>
      </c>
      <c r="C17" s="113" t="s">
        <v>90</v>
      </c>
      <c r="D17" s="111" t="str">
        <f>HYPERLINK(知识点_3[[#This Row],[地址]],"看视频")</f>
        <v>看视频</v>
      </c>
      <c r="E17" s="114" t="s">
        <v>91</v>
      </c>
      <c r="F17" s="112"/>
    </row>
    <row r="18" spans="2:6" ht="16.5" x14ac:dyDescent="0.2">
      <c r="B18" s="105" t="s">
        <v>78</v>
      </c>
      <c r="C18" s="113" t="s">
        <v>92</v>
      </c>
      <c r="D18" s="111" t="str">
        <f>HYPERLINK(知识点_3[[#This Row],[地址]],"看视频")</f>
        <v>看视频</v>
      </c>
      <c r="E18" s="114" t="s">
        <v>93</v>
      </c>
      <c r="F18" s="112"/>
    </row>
  </sheetData>
  <sheetProtection algorithmName="SHA-512" hashValue="BWSYVcTW/fisGe0ZannZ6bJlIkYPNHItQZK4s1wxI9YoOIs4cBfwv+r4rhBXOWVQQoE3lwydvJz0g300TF/e+A==" saltValue="ZenVrdQhTAUiCTh+0l9JKA==" spinCount="100000" sheet="1" objects="1" scenarios="1"/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56E8-36EF-4914-B06B-9AB7AF75E297}">
  <sheetPr codeName="Sheet2"/>
  <dimension ref="A1:G281"/>
  <sheetViews>
    <sheetView showGridLines="0" workbookViewId="0">
      <pane ySplit="1" topLeftCell="A256" activePane="bottomLeft" state="frozen"/>
      <selection pane="bottomLeft" activeCell="E1" sqref="E1"/>
    </sheetView>
  </sheetViews>
  <sheetFormatPr defaultRowHeight="14.25" x14ac:dyDescent="0.2"/>
  <cols>
    <col min="1" max="1" width="11.125" bestFit="1" customWidth="1"/>
    <col min="2" max="2" width="7.25" bestFit="1" customWidth="1"/>
    <col min="3" max="3" width="10" style="25" bestFit="1" customWidth="1"/>
    <col min="5" max="5" width="11.125" bestFit="1" customWidth="1"/>
    <col min="7" max="7" width="9.25" style="25" bestFit="1" customWidth="1"/>
  </cols>
  <sheetData>
    <row r="1" spans="1:3" x14ac:dyDescent="0.2">
      <c r="A1" s="28" t="s">
        <v>38</v>
      </c>
      <c r="B1" s="28" t="s">
        <v>28</v>
      </c>
      <c r="C1" s="29" t="s">
        <v>39</v>
      </c>
    </row>
    <row r="2" spans="1:3" x14ac:dyDescent="0.2">
      <c r="A2" s="30">
        <v>40939</v>
      </c>
      <c r="B2" s="30" t="s">
        <v>35</v>
      </c>
      <c r="C2" s="29">
        <v>175.33960983536596</v>
      </c>
    </row>
    <row r="3" spans="1:3" x14ac:dyDescent="0.2">
      <c r="A3" s="30">
        <v>40939</v>
      </c>
      <c r="B3" s="30" t="s">
        <v>31</v>
      </c>
      <c r="C3" s="29">
        <v>2461.0925584344172</v>
      </c>
    </row>
    <row r="4" spans="1:3" x14ac:dyDescent="0.2">
      <c r="A4" s="30">
        <v>40939</v>
      </c>
      <c r="B4" s="30" t="s">
        <v>33</v>
      </c>
      <c r="C4" s="29">
        <v>881.62680104394087</v>
      </c>
    </row>
    <row r="5" spans="1:3" x14ac:dyDescent="0.2">
      <c r="A5" s="30">
        <v>40939</v>
      </c>
      <c r="B5" s="30" t="s">
        <v>36</v>
      </c>
      <c r="C5" s="29">
        <v>78.041030686276116</v>
      </c>
    </row>
    <row r="6" spans="1:3" x14ac:dyDescent="0.2">
      <c r="A6" s="30">
        <v>40968</v>
      </c>
      <c r="B6" s="30" t="s">
        <v>35</v>
      </c>
      <c r="C6" s="29">
        <v>162.09198824745994</v>
      </c>
    </row>
    <row r="7" spans="1:3" x14ac:dyDescent="0.2">
      <c r="A7" s="30">
        <v>40968</v>
      </c>
      <c r="B7" s="30" t="s">
        <v>31</v>
      </c>
      <c r="C7" s="29">
        <v>2275.1469929254963</v>
      </c>
    </row>
    <row r="8" spans="1:3" x14ac:dyDescent="0.2">
      <c r="A8" s="30">
        <v>40968</v>
      </c>
      <c r="B8" s="30" t="s">
        <v>33</v>
      </c>
      <c r="C8" s="29">
        <v>815.01630582866915</v>
      </c>
    </row>
    <row r="9" spans="1:3" x14ac:dyDescent="0.2">
      <c r="A9" s="30">
        <v>40968</v>
      </c>
      <c r="B9" s="30" t="s">
        <v>36</v>
      </c>
      <c r="C9" s="29">
        <v>72.144712998374999</v>
      </c>
    </row>
    <row r="10" spans="1:3" x14ac:dyDescent="0.2">
      <c r="A10" s="30">
        <v>40999</v>
      </c>
      <c r="B10" s="30" t="s">
        <v>35</v>
      </c>
      <c r="C10" s="29">
        <v>151.8722551417363</v>
      </c>
    </row>
    <row r="11" spans="1:3" x14ac:dyDescent="0.2">
      <c r="A11" s="30">
        <v>40999</v>
      </c>
      <c r="B11" s="30" t="s">
        <v>31</v>
      </c>
      <c r="C11" s="29">
        <v>2131.7013155950958</v>
      </c>
    </row>
    <row r="12" spans="1:3" x14ac:dyDescent="0.2">
      <c r="A12" s="30">
        <v>40999</v>
      </c>
      <c r="B12" s="30" t="s">
        <v>33</v>
      </c>
      <c r="C12" s="29">
        <v>763.63036619995739</v>
      </c>
    </row>
    <row r="13" spans="1:3" x14ac:dyDescent="0.2">
      <c r="A13" s="30">
        <v>40999</v>
      </c>
      <c r="B13" s="30" t="s">
        <v>36</v>
      </c>
      <c r="C13" s="29">
        <v>67.596063063210934</v>
      </c>
    </row>
    <row r="14" spans="1:3" x14ac:dyDescent="0.2">
      <c r="A14" s="30">
        <v>41029</v>
      </c>
      <c r="B14" s="30" t="s">
        <v>35</v>
      </c>
      <c r="C14" s="29">
        <v>148.81998752523677</v>
      </c>
    </row>
    <row r="15" spans="1:3" x14ac:dyDescent="0.2">
      <c r="A15" s="30">
        <v>41029</v>
      </c>
      <c r="B15" s="30" t="s">
        <v>31</v>
      </c>
      <c r="C15" s="29">
        <v>2088.8592383008058</v>
      </c>
    </row>
    <row r="16" spans="1:3" x14ac:dyDescent="0.2">
      <c r="A16" s="30">
        <v>41029</v>
      </c>
      <c r="B16" s="30" t="s">
        <v>33</v>
      </c>
      <c r="C16" s="29">
        <v>748.28322965054247</v>
      </c>
    </row>
    <row r="17" spans="1:3" x14ac:dyDescent="0.2">
      <c r="A17" s="30">
        <v>41029</v>
      </c>
      <c r="B17" s="30" t="s">
        <v>36</v>
      </c>
      <c r="C17" s="29">
        <v>66.237544523414797</v>
      </c>
    </row>
    <row r="18" spans="1:3" x14ac:dyDescent="0.2">
      <c r="A18" s="30">
        <v>41060</v>
      </c>
      <c r="B18" s="30" t="s">
        <v>35</v>
      </c>
      <c r="C18" s="29">
        <v>156.12885199350001</v>
      </c>
    </row>
    <row r="19" spans="1:3" x14ac:dyDescent="0.2">
      <c r="A19" s="30">
        <v>41060</v>
      </c>
      <c r="B19" s="30" t="s">
        <v>31</v>
      </c>
      <c r="C19" s="29">
        <v>2191.4475352083782</v>
      </c>
    </row>
    <row r="20" spans="1:3" x14ac:dyDescent="0.2">
      <c r="A20" s="30">
        <v>41060</v>
      </c>
      <c r="B20" s="30" t="s">
        <v>33</v>
      </c>
      <c r="C20" s="29">
        <v>785.03300231439687</v>
      </c>
    </row>
    <row r="21" spans="1:3" x14ac:dyDescent="0.2">
      <c r="A21" s="30">
        <v>41060</v>
      </c>
      <c r="B21" s="30" t="s">
        <v>36</v>
      </c>
      <c r="C21" s="29">
        <v>69.490610483725362</v>
      </c>
    </row>
    <row r="22" spans="1:3" x14ac:dyDescent="0.2">
      <c r="A22" s="30">
        <v>41090</v>
      </c>
      <c r="B22" s="30" t="s">
        <v>35</v>
      </c>
      <c r="C22" s="29">
        <v>154.01761896164012</v>
      </c>
    </row>
    <row r="23" spans="1:3" x14ac:dyDescent="0.2">
      <c r="A23" s="30">
        <v>41090</v>
      </c>
      <c r="B23" s="30" t="s">
        <v>31</v>
      </c>
      <c r="C23" s="29">
        <v>2161.8139577827756</v>
      </c>
    </row>
    <row r="24" spans="1:3" x14ac:dyDescent="0.2">
      <c r="A24" s="30">
        <v>41090</v>
      </c>
      <c r="B24" s="30" t="s">
        <v>33</v>
      </c>
      <c r="C24" s="29">
        <v>774.41749093117551</v>
      </c>
    </row>
    <row r="25" spans="1:3" x14ac:dyDescent="0.2">
      <c r="A25" s="30">
        <v>41090</v>
      </c>
      <c r="B25" s="30" t="s">
        <v>36</v>
      </c>
      <c r="C25" s="29">
        <v>68.550932324409501</v>
      </c>
    </row>
    <row r="26" spans="1:3" x14ac:dyDescent="0.2">
      <c r="A26" s="30">
        <v>41121</v>
      </c>
      <c r="B26" s="30" t="s">
        <v>35</v>
      </c>
      <c r="C26" s="29">
        <v>150.98485465259427</v>
      </c>
    </row>
    <row r="27" spans="1:3" x14ac:dyDescent="0.2">
      <c r="A27" s="30">
        <v>41121</v>
      </c>
      <c r="B27" s="30" t="s">
        <v>31</v>
      </c>
      <c r="C27" s="29">
        <v>2119.2456317811011</v>
      </c>
    </row>
    <row r="28" spans="1:3" x14ac:dyDescent="0.2">
      <c r="A28" s="30">
        <v>41121</v>
      </c>
      <c r="B28" s="30" t="s">
        <v>33</v>
      </c>
      <c r="C28" s="29">
        <v>759.16841915204441</v>
      </c>
    </row>
    <row r="29" spans="1:3" x14ac:dyDescent="0.2">
      <c r="A29" s="30">
        <v>41121</v>
      </c>
      <c r="B29" s="30" t="s">
        <v>36</v>
      </c>
      <c r="C29" s="29">
        <v>67.201094414260623</v>
      </c>
    </row>
    <row r="30" spans="1:3" x14ac:dyDescent="0.2">
      <c r="A30" s="30">
        <v>41152</v>
      </c>
      <c r="B30" s="30" t="s">
        <v>35</v>
      </c>
      <c r="C30" s="29">
        <v>153.28136910526402</v>
      </c>
    </row>
    <row r="31" spans="1:3" x14ac:dyDescent="0.2">
      <c r="A31" s="30">
        <v>41152</v>
      </c>
      <c r="B31" s="30" t="s">
        <v>31</v>
      </c>
      <c r="C31" s="29">
        <v>2151.4798464865489</v>
      </c>
    </row>
    <row r="32" spans="1:3" x14ac:dyDescent="0.2">
      <c r="A32" s="30">
        <v>41152</v>
      </c>
      <c r="B32" s="30" t="s">
        <v>33</v>
      </c>
      <c r="C32" s="29">
        <v>770.71554585296201</v>
      </c>
    </row>
    <row r="33" spans="1:3" x14ac:dyDescent="0.2">
      <c r="A33" s="30">
        <v>41152</v>
      </c>
      <c r="B33" s="30" t="s">
        <v>36</v>
      </c>
      <c r="C33" s="29">
        <v>68.22323855522545</v>
      </c>
    </row>
    <row r="34" spans="1:3" x14ac:dyDescent="0.2">
      <c r="A34" s="30">
        <v>41182</v>
      </c>
      <c r="B34" s="30" t="s">
        <v>35</v>
      </c>
      <c r="C34" s="29">
        <v>166.87029857360932</v>
      </c>
    </row>
    <row r="35" spans="1:3" x14ac:dyDescent="0.2">
      <c r="A35" s="30">
        <v>41182</v>
      </c>
      <c r="B35" s="30" t="s">
        <v>31</v>
      </c>
      <c r="C35" s="29">
        <v>2342.2160596162375</v>
      </c>
    </row>
    <row r="36" spans="1:3" x14ac:dyDescent="0.2">
      <c r="A36" s="30">
        <v>41182</v>
      </c>
      <c r="B36" s="30" t="s">
        <v>33</v>
      </c>
      <c r="C36" s="29">
        <v>839.04217454820036</v>
      </c>
    </row>
    <row r="37" spans="1:3" x14ac:dyDescent="0.2">
      <c r="A37" s="30">
        <v>41182</v>
      </c>
      <c r="B37" s="30" t="s">
        <v>36</v>
      </c>
      <c r="C37" s="29">
        <v>74.271467261953617</v>
      </c>
    </row>
    <row r="38" spans="1:3" x14ac:dyDescent="0.2">
      <c r="A38" s="30">
        <v>41213</v>
      </c>
      <c r="B38" s="30" t="s">
        <v>35</v>
      </c>
      <c r="C38" s="29">
        <v>178.54790391149487</v>
      </c>
    </row>
    <row r="39" spans="1:3" x14ac:dyDescent="0.2">
      <c r="A39" s="30">
        <v>41213</v>
      </c>
      <c r="B39" s="30" t="s">
        <v>31</v>
      </c>
      <c r="C39" s="29">
        <v>2506.1246460696293</v>
      </c>
    </row>
    <row r="40" spans="1:3" x14ac:dyDescent="0.2">
      <c r="A40" s="30">
        <v>41213</v>
      </c>
      <c r="B40" s="30" t="s">
        <v>33</v>
      </c>
      <c r="C40" s="29">
        <v>897.75845575562607</v>
      </c>
    </row>
    <row r="41" spans="1:3" x14ac:dyDescent="0.2">
      <c r="A41" s="30">
        <v>41213</v>
      </c>
      <c r="B41" s="30" t="s">
        <v>36</v>
      </c>
      <c r="C41" s="29">
        <v>79.468994263250337</v>
      </c>
    </row>
    <row r="42" spans="1:3" x14ac:dyDescent="0.2">
      <c r="A42" s="30">
        <v>41243</v>
      </c>
      <c r="B42" s="30" t="s">
        <v>35</v>
      </c>
      <c r="C42" s="29">
        <v>182.01949263824829</v>
      </c>
    </row>
    <row r="43" spans="1:3" x14ac:dyDescent="0.2">
      <c r="A43" s="30">
        <v>41243</v>
      </c>
      <c r="B43" s="30" t="s">
        <v>31</v>
      </c>
      <c r="C43" s="29">
        <v>2554.8523761551469</v>
      </c>
    </row>
    <row r="44" spans="1:3" x14ac:dyDescent="0.2">
      <c r="A44" s="30">
        <v>41243</v>
      </c>
      <c r="B44" s="30" t="s">
        <v>33</v>
      </c>
      <c r="C44" s="29">
        <v>915.21398486614248</v>
      </c>
    </row>
    <row r="45" spans="1:3" x14ac:dyDescent="0.2">
      <c r="A45" s="30">
        <v>41243</v>
      </c>
      <c r="B45" s="30" t="s">
        <v>36</v>
      </c>
      <c r="C45" s="29">
        <v>81.014146340462545</v>
      </c>
    </row>
    <row r="46" spans="1:3" x14ac:dyDescent="0.2">
      <c r="A46" s="30">
        <v>41274</v>
      </c>
      <c r="B46" s="30" t="s">
        <v>35</v>
      </c>
      <c r="C46" s="29">
        <v>214.7509183723717</v>
      </c>
    </row>
    <row r="47" spans="1:3" x14ac:dyDescent="0.2">
      <c r="A47" s="30">
        <v>41274</v>
      </c>
      <c r="B47" s="30" t="s">
        <v>31</v>
      </c>
      <c r="C47" s="29">
        <v>3014.2754829867213</v>
      </c>
    </row>
    <row r="48" spans="1:3" x14ac:dyDescent="0.2">
      <c r="A48" s="30">
        <v>41274</v>
      </c>
      <c r="B48" s="30" t="s">
        <v>33</v>
      </c>
      <c r="C48" s="29">
        <v>1079.7911855949314</v>
      </c>
    </row>
    <row r="49" spans="1:3" x14ac:dyDescent="0.2">
      <c r="A49" s="30">
        <v>41274</v>
      </c>
      <c r="B49" s="30" t="s">
        <v>36</v>
      </c>
      <c r="C49" s="29">
        <v>95.582413045976054</v>
      </c>
    </row>
    <row r="50" spans="1:3" x14ac:dyDescent="0.2">
      <c r="A50" s="30">
        <v>41305</v>
      </c>
      <c r="B50" s="30" t="s">
        <v>35</v>
      </c>
      <c r="C50" s="29">
        <v>190.51805886118544</v>
      </c>
    </row>
    <row r="51" spans="1:3" x14ac:dyDescent="0.2">
      <c r="A51" s="30">
        <v>41305</v>
      </c>
      <c r="B51" s="30" t="s">
        <v>31</v>
      </c>
      <c r="C51" s="29">
        <v>2674.1395019122501</v>
      </c>
    </row>
    <row r="52" spans="1:3" x14ac:dyDescent="0.2">
      <c r="A52" s="30">
        <v>41305</v>
      </c>
      <c r="B52" s="30" t="s">
        <v>33</v>
      </c>
      <c r="C52" s="29">
        <v>957.94570851730884</v>
      </c>
    </row>
    <row r="53" spans="1:3" x14ac:dyDescent="0.2">
      <c r="A53" s="30">
        <v>41305</v>
      </c>
      <c r="B53" s="30" t="s">
        <v>36</v>
      </c>
      <c r="C53" s="29">
        <v>84.796730709255939</v>
      </c>
    </row>
    <row r="54" spans="1:3" x14ac:dyDescent="0.2">
      <c r="A54" s="30">
        <v>41333</v>
      </c>
      <c r="B54" s="30" t="s">
        <v>35</v>
      </c>
      <c r="C54" s="29">
        <v>180.71764686571575</v>
      </c>
    </row>
    <row r="55" spans="1:3" x14ac:dyDescent="0.2">
      <c r="A55" s="30">
        <v>41333</v>
      </c>
      <c r="B55" s="30" t="s">
        <v>31</v>
      </c>
      <c r="C55" s="29">
        <v>2536.5794773730781</v>
      </c>
    </row>
    <row r="56" spans="1:3" x14ac:dyDescent="0.2">
      <c r="A56" s="30">
        <v>41333</v>
      </c>
      <c r="B56" s="30" t="s">
        <v>33</v>
      </c>
      <c r="C56" s="29">
        <v>908.66816144969903</v>
      </c>
    </row>
    <row r="57" spans="1:3" x14ac:dyDescent="0.2">
      <c r="A57" s="30">
        <v>41333</v>
      </c>
      <c r="B57" s="30" t="s">
        <v>36</v>
      </c>
      <c r="C57" s="29">
        <v>80.434714311507975</v>
      </c>
    </row>
    <row r="58" spans="1:3" x14ac:dyDescent="0.2">
      <c r="A58" s="30">
        <v>41364</v>
      </c>
      <c r="B58" s="30" t="s">
        <v>35</v>
      </c>
      <c r="C58" s="29">
        <v>170.40039722272377</v>
      </c>
    </row>
    <row r="59" spans="1:3" x14ac:dyDescent="0.2">
      <c r="A59" s="30">
        <v>41364</v>
      </c>
      <c r="B59" s="30" t="s">
        <v>31</v>
      </c>
      <c r="C59" s="29">
        <v>2391.7650435796008</v>
      </c>
    </row>
    <row r="60" spans="1:3" x14ac:dyDescent="0.2">
      <c r="A60" s="30">
        <v>41364</v>
      </c>
      <c r="B60" s="30" t="s">
        <v>33</v>
      </c>
      <c r="C60" s="29">
        <v>856.79189796956837</v>
      </c>
    </row>
    <row r="61" spans="1:3" x14ac:dyDescent="0.2">
      <c r="A61" s="30">
        <v>41364</v>
      </c>
      <c r="B61" s="30" t="s">
        <v>36</v>
      </c>
      <c r="C61" s="29">
        <v>75.842661228107616</v>
      </c>
    </row>
    <row r="62" spans="1:3" x14ac:dyDescent="0.2">
      <c r="A62" s="30">
        <v>41394</v>
      </c>
      <c r="B62" s="30" t="s">
        <v>35</v>
      </c>
      <c r="C62" s="29">
        <v>166.11454540977959</v>
      </c>
    </row>
    <row r="63" spans="1:3" x14ac:dyDescent="0.2">
      <c r="A63" s="30">
        <v>41394</v>
      </c>
      <c r="B63" s="30" t="s">
        <v>31</v>
      </c>
      <c r="C63" s="29">
        <v>2331.6081970273958</v>
      </c>
    </row>
    <row r="64" spans="1:3" x14ac:dyDescent="0.2">
      <c r="A64" s="30">
        <v>41394</v>
      </c>
      <c r="B64" s="30" t="s">
        <v>33</v>
      </c>
      <c r="C64" s="29">
        <v>835.24216469970293</v>
      </c>
    </row>
    <row r="65" spans="1:3" x14ac:dyDescent="0.2">
      <c r="A65" s="30">
        <v>41394</v>
      </c>
      <c r="B65" s="30" t="s">
        <v>36</v>
      </c>
      <c r="C65" s="29">
        <v>73.935092863122307</v>
      </c>
    </row>
    <row r="66" spans="1:3" x14ac:dyDescent="0.2">
      <c r="A66" s="30">
        <v>41425</v>
      </c>
      <c r="B66" s="30" t="s">
        <v>35</v>
      </c>
      <c r="C66" s="29">
        <v>168.86451176074718</v>
      </c>
    </row>
    <row r="67" spans="1:3" x14ac:dyDescent="0.2">
      <c r="A67" s="30">
        <v>41425</v>
      </c>
      <c r="B67" s="30" t="s">
        <v>31</v>
      </c>
      <c r="C67" s="29">
        <v>2370.2071292861483</v>
      </c>
    </row>
    <row r="68" spans="1:3" x14ac:dyDescent="0.2">
      <c r="A68" s="30">
        <v>41425</v>
      </c>
      <c r="B68" s="30" t="s">
        <v>33</v>
      </c>
      <c r="C68" s="29">
        <v>849.06929730971899</v>
      </c>
    </row>
    <row r="69" spans="1:3" x14ac:dyDescent="0.2">
      <c r="A69" s="30">
        <v>41425</v>
      </c>
      <c r="B69" s="30" t="s">
        <v>36</v>
      </c>
      <c r="C69" s="29">
        <v>75.159061643385911</v>
      </c>
    </row>
    <row r="70" spans="1:3" x14ac:dyDescent="0.2">
      <c r="A70" s="30">
        <v>41455</v>
      </c>
      <c r="B70" s="30" t="s">
        <v>35</v>
      </c>
      <c r="C70" s="29">
        <v>174.40345107758975</v>
      </c>
    </row>
    <row r="71" spans="1:3" x14ac:dyDescent="0.2">
      <c r="A71" s="30">
        <v>41455</v>
      </c>
      <c r="B71" s="30" t="s">
        <v>31</v>
      </c>
      <c r="C71" s="29">
        <v>2447.9524963888848</v>
      </c>
    </row>
    <row r="72" spans="1:3" x14ac:dyDescent="0.2">
      <c r="A72" s="30">
        <v>41455</v>
      </c>
      <c r="B72" s="30" t="s">
        <v>33</v>
      </c>
      <c r="C72" s="29">
        <v>876.91969207031843</v>
      </c>
    </row>
    <row r="73" spans="1:3" x14ac:dyDescent="0.2">
      <c r="A73" s="30">
        <v>41455</v>
      </c>
      <c r="B73" s="30" t="s">
        <v>36</v>
      </c>
      <c r="C73" s="29">
        <v>77.624360463207651</v>
      </c>
    </row>
    <row r="74" spans="1:3" x14ac:dyDescent="0.2">
      <c r="A74" s="30">
        <v>41486</v>
      </c>
      <c r="B74" s="30" t="s">
        <v>35</v>
      </c>
      <c r="C74" s="29">
        <v>173.68182870180394</v>
      </c>
    </row>
    <row r="75" spans="1:3" x14ac:dyDescent="0.2">
      <c r="A75" s="30">
        <v>41486</v>
      </c>
      <c r="B75" s="30" t="s">
        <v>31</v>
      </c>
      <c r="C75" s="29">
        <v>2437.8236985621193</v>
      </c>
    </row>
    <row r="76" spans="1:3" x14ac:dyDescent="0.2">
      <c r="A76" s="30">
        <v>41486</v>
      </c>
      <c r="B76" s="30" t="s">
        <v>33</v>
      </c>
      <c r="C76" s="29">
        <v>873.29129556981775</v>
      </c>
    </row>
    <row r="77" spans="1:3" x14ac:dyDescent="0.2">
      <c r="A77" s="30">
        <v>41486</v>
      </c>
      <c r="B77" s="30" t="s">
        <v>36</v>
      </c>
      <c r="C77" s="29">
        <v>77.303177166259033</v>
      </c>
    </row>
    <row r="78" spans="1:3" x14ac:dyDescent="0.2">
      <c r="A78" s="30">
        <v>41517</v>
      </c>
      <c r="B78" s="30" t="s">
        <v>35</v>
      </c>
      <c r="C78" s="29">
        <v>175.99784646192734</v>
      </c>
    </row>
    <row r="79" spans="1:3" x14ac:dyDescent="0.2">
      <c r="A79" s="30">
        <v>41517</v>
      </c>
      <c r="B79" s="30" t="s">
        <v>31</v>
      </c>
      <c r="C79" s="29">
        <v>2470.3316645601831</v>
      </c>
    </row>
    <row r="80" spans="1:3" x14ac:dyDescent="0.2">
      <c r="A80" s="30">
        <v>41517</v>
      </c>
      <c r="B80" s="30" t="s">
        <v>33</v>
      </c>
      <c r="C80" s="29">
        <v>884.93648704101906</v>
      </c>
    </row>
    <row r="81" spans="1:3" x14ac:dyDescent="0.2">
      <c r="A81" s="30">
        <v>41517</v>
      </c>
      <c r="B81" s="30" t="s">
        <v>36</v>
      </c>
      <c r="C81" s="29">
        <v>78.334001936871132</v>
      </c>
    </row>
    <row r="82" spans="1:3" x14ac:dyDescent="0.2">
      <c r="A82" s="30">
        <v>41547</v>
      </c>
      <c r="B82" s="30" t="s">
        <v>35</v>
      </c>
      <c r="C82" s="29">
        <v>193.6580913612265</v>
      </c>
    </row>
    <row r="83" spans="1:3" x14ac:dyDescent="0.2">
      <c r="A83" s="30">
        <v>41547</v>
      </c>
      <c r="B83" s="30" t="s">
        <v>31</v>
      </c>
      <c r="C83" s="29">
        <v>2718.2134600233085</v>
      </c>
    </row>
    <row r="84" spans="1:3" x14ac:dyDescent="0.2">
      <c r="A84" s="30">
        <v>41547</v>
      </c>
      <c r="B84" s="30" t="s">
        <v>33</v>
      </c>
      <c r="C84" s="29">
        <v>973.73413653300076</v>
      </c>
    </row>
    <row r="85" spans="1:3" x14ac:dyDescent="0.2">
      <c r="A85" s="30">
        <v>41547</v>
      </c>
      <c r="B85" s="30" t="s">
        <v>36</v>
      </c>
      <c r="C85" s="29">
        <v>86.194312082464748</v>
      </c>
    </row>
    <row r="86" spans="1:3" x14ac:dyDescent="0.2">
      <c r="A86" s="30">
        <v>41578</v>
      </c>
      <c r="B86" s="30" t="s">
        <v>35</v>
      </c>
      <c r="C86" s="29">
        <v>204.99926464553619</v>
      </c>
    </row>
    <row r="87" spans="1:3" x14ac:dyDescent="0.2">
      <c r="A87" s="30">
        <v>41578</v>
      </c>
      <c r="B87" s="30" t="s">
        <v>31</v>
      </c>
      <c r="C87" s="29">
        <v>2877.3998366790865</v>
      </c>
    </row>
    <row r="88" spans="1:3" x14ac:dyDescent="0.2">
      <c r="A88" s="30">
        <v>41578</v>
      </c>
      <c r="B88" s="30" t="s">
        <v>33</v>
      </c>
      <c r="C88" s="29">
        <v>1030.7588004530307</v>
      </c>
    </row>
    <row r="89" spans="1:3" x14ac:dyDescent="0.2">
      <c r="A89" s="30">
        <v>41578</v>
      </c>
      <c r="B89" s="30" t="s">
        <v>36</v>
      </c>
      <c r="C89" s="29">
        <v>91.242098222346229</v>
      </c>
    </row>
    <row r="90" spans="1:3" x14ac:dyDescent="0.2">
      <c r="A90" s="30">
        <v>41608</v>
      </c>
      <c r="B90" s="30" t="s">
        <v>35</v>
      </c>
      <c r="C90" s="29">
        <v>204.91637558885807</v>
      </c>
    </row>
    <row r="91" spans="1:3" x14ac:dyDescent="0.2">
      <c r="A91" s="30">
        <v>41608</v>
      </c>
      <c r="B91" s="30" t="s">
        <v>31</v>
      </c>
      <c r="C91" s="29">
        <v>2876.2363936854722</v>
      </c>
    </row>
    <row r="92" spans="1:3" x14ac:dyDescent="0.2">
      <c r="A92" s="30">
        <v>41608</v>
      </c>
      <c r="B92" s="30" t="s">
        <v>33</v>
      </c>
      <c r="C92" s="29">
        <v>1030.3420251793248</v>
      </c>
    </row>
    <row r="93" spans="1:3" x14ac:dyDescent="0.2">
      <c r="A93" s="30">
        <v>41608</v>
      </c>
      <c r="B93" s="30" t="s">
        <v>36</v>
      </c>
      <c r="C93" s="29">
        <v>91.205205546345383</v>
      </c>
    </row>
    <row r="94" spans="1:3" x14ac:dyDescent="0.2">
      <c r="A94" s="30">
        <v>41639</v>
      </c>
      <c r="B94" s="30" t="s">
        <v>35</v>
      </c>
      <c r="C94" s="29">
        <v>230.90453277087474</v>
      </c>
    </row>
    <row r="95" spans="1:3" x14ac:dyDescent="0.2">
      <c r="A95" s="30">
        <v>41639</v>
      </c>
      <c r="B95" s="30" t="s">
        <v>31</v>
      </c>
      <c r="C95" s="29">
        <v>3241.0099910953172</v>
      </c>
    </row>
    <row r="96" spans="1:3" x14ac:dyDescent="0.2">
      <c r="A96" s="30">
        <v>41639</v>
      </c>
      <c r="B96" s="30" t="s">
        <v>33</v>
      </c>
      <c r="C96" s="29">
        <v>1161.0133315824894</v>
      </c>
    </row>
    <row r="97" spans="1:3" x14ac:dyDescent="0.2">
      <c r="A97" s="30">
        <v>41639</v>
      </c>
      <c r="B97" s="30" t="s">
        <v>36</v>
      </c>
      <c r="C97" s="29">
        <v>102.77214455131887</v>
      </c>
    </row>
    <row r="98" spans="1:3" x14ac:dyDescent="0.2">
      <c r="A98" s="30">
        <v>41670</v>
      </c>
      <c r="B98" s="30" t="s">
        <v>35</v>
      </c>
      <c r="C98" s="29">
        <v>222.79603269701099</v>
      </c>
    </row>
    <row r="99" spans="1:3" x14ac:dyDescent="0.2">
      <c r="A99" s="30">
        <v>41670</v>
      </c>
      <c r="B99" s="30" t="s">
        <v>31</v>
      </c>
      <c r="C99" s="29">
        <v>3127.1978911905194</v>
      </c>
    </row>
    <row r="100" spans="1:3" x14ac:dyDescent="0.2">
      <c r="A100" s="30">
        <v>41670</v>
      </c>
      <c r="B100" s="30" t="s">
        <v>33</v>
      </c>
      <c r="C100" s="29">
        <v>1120.2429033369992</v>
      </c>
    </row>
    <row r="101" spans="1:3" x14ac:dyDescent="0.2">
      <c r="A101" s="30">
        <v>41670</v>
      </c>
      <c r="B101" s="30" t="s">
        <v>36</v>
      </c>
      <c r="C101" s="29">
        <v>99.163172775470656</v>
      </c>
    </row>
    <row r="102" spans="1:3" x14ac:dyDescent="0.2">
      <c r="A102" s="30">
        <v>41698</v>
      </c>
      <c r="B102" s="30" t="s">
        <v>35</v>
      </c>
      <c r="C102" s="29">
        <v>205.3405725259754</v>
      </c>
    </row>
    <row r="103" spans="1:3" x14ac:dyDescent="0.2">
      <c r="A103" s="30">
        <v>41698</v>
      </c>
      <c r="B103" s="30" t="s">
        <v>31</v>
      </c>
      <c r="C103" s="29">
        <v>2882.1904842998542</v>
      </c>
    </row>
    <row r="104" spans="1:3" x14ac:dyDescent="0.2">
      <c r="A104" s="30">
        <v>41698</v>
      </c>
      <c r="B104" s="30" t="s">
        <v>33</v>
      </c>
      <c r="C104" s="29">
        <v>1032.4749339329974</v>
      </c>
    </row>
    <row r="105" spans="1:3" x14ac:dyDescent="0.2">
      <c r="A105" s="30">
        <v>41698</v>
      </c>
      <c r="B105" s="30" t="s">
        <v>36</v>
      </c>
      <c r="C105" s="29">
        <v>91.394009241173279</v>
      </c>
    </row>
    <row r="106" spans="1:3" x14ac:dyDescent="0.2">
      <c r="A106" s="30">
        <v>41729</v>
      </c>
      <c r="B106" s="30" t="s">
        <v>35</v>
      </c>
      <c r="C106" s="29">
        <v>197.46123631469237</v>
      </c>
    </row>
    <row r="107" spans="1:3" x14ac:dyDescent="0.2">
      <c r="A107" s="30">
        <v>41729</v>
      </c>
      <c r="B107" s="30" t="s">
        <v>31</v>
      </c>
      <c r="C107" s="29">
        <v>2771.5949620832857</v>
      </c>
    </row>
    <row r="108" spans="1:3" x14ac:dyDescent="0.2">
      <c r="A108" s="30">
        <v>41729</v>
      </c>
      <c r="B108" s="30" t="s">
        <v>33</v>
      </c>
      <c r="C108" s="29">
        <v>992.85676673834212</v>
      </c>
    </row>
    <row r="109" spans="1:3" x14ac:dyDescent="0.2">
      <c r="A109" s="30">
        <v>41729</v>
      </c>
      <c r="B109" s="30" t="s">
        <v>36</v>
      </c>
      <c r="C109" s="29">
        <v>87.887034863680384</v>
      </c>
    </row>
    <row r="110" spans="1:3" x14ac:dyDescent="0.2">
      <c r="A110" s="30">
        <v>41759</v>
      </c>
      <c r="B110" s="30" t="s">
        <v>35</v>
      </c>
      <c r="C110" s="29">
        <v>195.12083942025183</v>
      </c>
    </row>
    <row r="111" spans="1:3" x14ac:dyDescent="0.2">
      <c r="A111" s="30">
        <v>41759</v>
      </c>
      <c r="B111" s="30" t="s">
        <v>31</v>
      </c>
      <c r="C111" s="29">
        <v>2738.7448069694537</v>
      </c>
    </row>
    <row r="112" spans="1:3" x14ac:dyDescent="0.2">
      <c r="A112" s="30">
        <v>41759</v>
      </c>
      <c r="B112" s="30" t="s">
        <v>33</v>
      </c>
      <c r="C112" s="29">
        <v>981.08899430428585</v>
      </c>
    </row>
    <row r="113" spans="1:3" x14ac:dyDescent="0.2">
      <c r="A113" s="30">
        <v>41759</v>
      </c>
      <c r="B113" s="30" t="s">
        <v>36</v>
      </c>
      <c r="C113" s="29">
        <v>86.845359306009229</v>
      </c>
    </row>
    <row r="114" spans="1:3" x14ac:dyDescent="0.2">
      <c r="A114" s="30">
        <v>41790</v>
      </c>
      <c r="B114" s="30" t="s">
        <v>35</v>
      </c>
      <c r="C114" s="29">
        <v>203.1318229568472</v>
      </c>
    </row>
    <row r="115" spans="1:3" x14ac:dyDescent="0.2">
      <c r="A115" s="30">
        <v>41790</v>
      </c>
      <c r="B115" s="30" t="s">
        <v>31</v>
      </c>
      <c r="C115" s="29">
        <v>2851.1881504111752</v>
      </c>
    </row>
    <row r="116" spans="1:3" x14ac:dyDescent="0.2">
      <c r="A116" s="30">
        <v>41790</v>
      </c>
      <c r="B116" s="30" t="s">
        <v>33</v>
      </c>
      <c r="C116" s="29">
        <v>1021.3690986983572</v>
      </c>
    </row>
    <row r="117" spans="1:3" x14ac:dyDescent="0.2">
      <c r="A117" s="30">
        <v>41790</v>
      </c>
      <c r="B117" s="30" t="s">
        <v>36</v>
      </c>
      <c r="C117" s="29">
        <v>90.410927933621124</v>
      </c>
    </row>
    <row r="118" spans="1:3" x14ac:dyDescent="0.2">
      <c r="A118" s="30">
        <v>41820</v>
      </c>
      <c r="B118" s="30" t="s">
        <v>35</v>
      </c>
      <c r="C118" s="29">
        <v>207.25677248329859</v>
      </c>
    </row>
    <row r="119" spans="1:3" x14ac:dyDescent="0.2">
      <c r="A119" s="30">
        <v>41820</v>
      </c>
      <c r="B119" s="30" t="s">
        <v>31</v>
      </c>
      <c r="C119" s="29">
        <v>2909.0865487993042</v>
      </c>
    </row>
    <row r="120" spans="1:3" x14ac:dyDescent="0.2">
      <c r="A120" s="30">
        <v>41820</v>
      </c>
      <c r="B120" s="30" t="s">
        <v>33</v>
      </c>
      <c r="C120" s="29">
        <v>1042.1097976133808</v>
      </c>
    </row>
    <row r="121" spans="1:3" x14ac:dyDescent="0.2">
      <c r="A121" s="30">
        <v>41820</v>
      </c>
      <c r="B121" s="30" t="s">
        <v>36</v>
      </c>
      <c r="C121" s="29">
        <v>92.246881104016538</v>
      </c>
    </row>
    <row r="122" spans="1:3" x14ac:dyDescent="0.2">
      <c r="A122" s="30">
        <v>41851</v>
      </c>
      <c r="B122" s="30" t="s">
        <v>35</v>
      </c>
      <c r="C122" s="29">
        <v>205.23330433498026</v>
      </c>
    </row>
    <row r="123" spans="1:3" x14ac:dyDescent="0.2">
      <c r="A123" s="30">
        <v>41851</v>
      </c>
      <c r="B123" s="30" t="s">
        <v>31</v>
      </c>
      <c r="C123" s="29">
        <v>2880.6848521904703</v>
      </c>
    </row>
    <row r="124" spans="1:3" x14ac:dyDescent="0.2">
      <c r="A124" s="30">
        <v>41851</v>
      </c>
      <c r="B124" s="30" t="s">
        <v>33</v>
      </c>
      <c r="C124" s="29">
        <v>1031.9355776964367</v>
      </c>
    </row>
    <row r="125" spans="1:3" x14ac:dyDescent="0.2">
      <c r="A125" s="30">
        <v>41851</v>
      </c>
      <c r="B125" s="30" t="s">
        <v>36</v>
      </c>
      <c r="C125" s="29">
        <v>91.346265778113349</v>
      </c>
    </row>
    <row r="126" spans="1:3" x14ac:dyDescent="0.2">
      <c r="A126" s="30">
        <v>41882</v>
      </c>
      <c r="B126" s="30" t="s">
        <v>35</v>
      </c>
      <c r="C126" s="29">
        <v>207.84187170690871</v>
      </c>
    </row>
    <row r="127" spans="1:3" x14ac:dyDescent="0.2">
      <c r="A127" s="30">
        <v>41882</v>
      </c>
      <c r="B127" s="30" t="s">
        <v>31</v>
      </c>
      <c r="C127" s="29">
        <v>2917.2990875777623</v>
      </c>
    </row>
    <row r="128" spans="1:3" x14ac:dyDescent="0.2">
      <c r="A128" s="30">
        <v>41882</v>
      </c>
      <c r="B128" s="30" t="s">
        <v>33</v>
      </c>
      <c r="C128" s="29">
        <v>1045.0517407218949</v>
      </c>
    </row>
    <row r="129" spans="1:3" x14ac:dyDescent="0.2">
      <c r="A129" s="30">
        <v>41882</v>
      </c>
      <c r="B129" s="30" t="s">
        <v>36</v>
      </c>
      <c r="C129" s="29">
        <v>92.50729999343433</v>
      </c>
    </row>
    <row r="130" spans="1:3" x14ac:dyDescent="0.2">
      <c r="A130" s="30">
        <v>41912</v>
      </c>
      <c r="B130" s="30" t="s">
        <v>35</v>
      </c>
      <c r="C130" s="29">
        <v>230.02688393545952</v>
      </c>
    </row>
    <row r="131" spans="1:3" x14ac:dyDescent="0.2">
      <c r="A131" s="30">
        <v>41912</v>
      </c>
      <c r="B131" s="30" t="s">
        <v>31</v>
      </c>
      <c r="C131" s="29">
        <v>3228.6911829276301</v>
      </c>
    </row>
    <row r="132" spans="1:3" x14ac:dyDescent="0.2">
      <c r="A132" s="30">
        <v>41912</v>
      </c>
      <c r="B132" s="30" t="s">
        <v>33</v>
      </c>
      <c r="C132" s="29">
        <v>1156.6004169197183</v>
      </c>
    </row>
    <row r="133" spans="1:3" x14ac:dyDescent="0.2">
      <c r="A133" s="30">
        <v>41912</v>
      </c>
      <c r="B133" s="30" t="s">
        <v>36</v>
      </c>
      <c r="C133" s="29">
        <v>102.38151621719219</v>
      </c>
    </row>
    <row r="134" spans="1:3" x14ac:dyDescent="0.2">
      <c r="A134" s="30">
        <v>41943</v>
      </c>
      <c r="B134" s="30" t="s">
        <v>35</v>
      </c>
      <c r="C134" s="29">
        <v>242.97220425783368</v>
      </c>
    </row>
    <row r="135" spans="1:3" x14ac:dyDescent="0.2">
      <c r="A135" s="30">
        <v>41943</v>
      </c>
      <c r="B135" s="30" t="s">
        <v>31</v>
      </c>
      <c r="C135" s="29">
        <v>3410.3936034010148</v>
      </c>
    </row>
    <row r="136" spans="1:3" x14ac:dyDescent="0.2">
      <c r="A136" s="30">
        <v>41943</v>
      </c>
      <c r="B136" s="30" t="s">
        <v>33</v>
      </c>
      <c r="C136" s="29">
        <v>1221.6909081955912</v>
      </c>
    </row>
    <row r="137" spans="1:3" x14ac:dyDescent="0.2">
      <c r="A137" s="30">
        <v>41943</v>
      </c>
      <c r="B137" s="30" t="s">
        <v>36</v>
      </c>
      <c r="C137" s="29">
        <v>108.1432841455608</v>
      </c>
    </row>
    <row r="138" spans="1:3" x14ac:dyDescent="0.2">
      <c r="A138" s="30">
        <v>41973</v>
      </c>
      <c r="B138" s="30" t="s">
        <v>35</v>
      </c>
      <c r="C138" s="29">
        <v>242.11405872987214</v>
      </c>
    </row>
    <row r="139" spans="1:3" x14ac:dyDescent="0.2">
      <c r="A139" s="30">
        <v>41973</v>
      </c>
      <c r="B139" s="30" t="s">
        <v>31</v>
      </c>
      <c r="C139" s="29">
        <v>3398.3485465259432</v>
      </c>
    </row>
    <row r="140" spans="1:3" x14ac:dyDescent="0.2">
      <c r="A140" s="30">
        <v>41973</v>
      </c>
      <c r="B140" s="30" t="s">
        <v>33</v>
      </c>
      <c r="C140" s="29">
        <v>1217.3760583031042</v>
      </c>
    </row>
    <row r="141" spans="1:3" x14ac:dyDescent="0.2">
      <c r="A141" s="30">
        <v>41973</v>
      </c>
      <c r="B141" s="30" t="s">
        <v>36</v>
      </c>
      <c r="C141" s="29">
        <v>107.76133644108135</v>
      </c>
    </row>
    <row r="142" spans="1:3" x14ac:dyDescent="0.2">
      <c r="A142" s="30">
        <v>42004</v>
      </c>
      <c r="B142" s="30" t="s">
        <v>35</v>
      </c>
      <c r="C142" s="29">
        <v>271.21786927761275</v>
      </c>
    </row>
    <row r="143" spans="1:3" x14ac:dyDescent="0.2">
      <c r="A143" s="30">
        <v>42004</v>
      </c>
      <c r="B143" s="30" t="s">
        <v>31</v>
      </c>
      <c r="C143" s="29">
        <v>3806.8539129310775</v>
      </c>
    </row>
    <row r="144" spans="1:3" x14ac:dyDescent="0.2">
      <c r="A144" s="30">
        <v>42004</v>
      </c>
      <c r="B144" s="30" t="s">
        <v>33</v>
      </c>
      <c r="C144" s="29">
        <v>1363.7132117591059</v>
      </c>
    </row>
    <row r="145" spans="1:3" x14ac:dyDescent="0.2">
      <c r="A145" s="30">
        <v>42004</v>
      </c>
      <c r="B145" s="30" t="s">
        <v>36</v>
      </c>
      <c r="C145" s="29">
        <v>120.71500603220458</v>
      </c>
    </row>
    <row r="146" spans="1:3" x14ac:dyDescent="0.2">
      <c r="A146" s="30">
        <v>42035</v>
      </c>
      <c r="B146" s="30" t="s">
        <v>35</v>
      </c>
      <c r="C146" s="29">
        <v>258.46270620291187</v>
      </c>
    </row>
    <row r="147" spans="1:3" x14ac:dyDescent="0.2">
      <c r="A147" s="30">
        <v>42035</v>
      </c>
      <c r="B147" s="30" t="s">
        <v>31</v>
      </c>
      <c r="C147" s="29">
        <v>3627.8205675606914</v>
      </c>
    </row>
    <row r="148" spans="1:3" x14ac:dyDescent="0.2">
      <c r="A148" s="30">
        <v>42035</v>
      </c>
      <c r="B148" s="30" t="s">
        <v>33</v>
      </c>
      <c r="C148" s="29">
        <v>1299.5788519935002</v>
      </c>
    </row>
    <row r="149" spans="1:3" x14ac:dyDescent="0.2">
      <c r="A149" s="30">
        <v>42035</v>
      </c>
      <c r="B149" s="30" t="s">
        <v>36</v>
      </c>
      <c r="C149" s="29">
        <v>115.03787424289675</v>
      </c>
    </row>
    <row r="150" spans="1:3" x14ac:dyDescent="0.2">
      <c r="A150" s="30">
        <v>42063</v>
      </c>
      <c r="B150" s="30" t="s">
        <v>35</v>
      </c>
      <c r="C150" s="29">
        <v>244.38619404822484</v>
      </c>
    </row>
    <row r="151" spans="1:3" x14ac:dyDescent="0.2">
      <c r="A151" s="30">
        <v>42063</v>
      </c>
      <c r="B151" s="30" t="s">
        <v>31</v>
      </c>
      <c r="C151" s="29">
        <v>3430.2405721156215</v>
      </c>
    </row>
    <row r="152" spans="1:3" x14ac:dyDescent="0.2">
      <c r="A152" s="30">
        <v>42063</v>
      </c>
      <c r="B152" s="30" t="s">
        <v>33</v>
      </c>
      <c r="C152" s="29">
        <v>1228.8006040411667</v>
      </c>
    </row>
    <row r="153" spans="1:3" x14ac:dyDescent="0.2">
      <c r="A153" s="30">
        <v>42063</v>
      </c>
      <c r="B153" s="30" t="s">
        <v>36</v>
      </c>
      <c r="C153" s="29">
        <v>108.77262979498711</v>
      </c>
    </row>
    <row r="154" spans="1:3" x14ac:dyDescent="0.2">
      <c r="A154" s="30">
        <v>42094</v>
      </c>
      <c r="B154" s="30" t="s">
        <v>35</v>
      </c>
      <c r="C154" s="29">
        <v>233.99580700228162</v>
      </c>
    </row>
    <row r="155" spans="1:3" x14ac:dyDescent="0.2">
      <c r="A155" s="30">
        <v>42094</v>
      </c>
      <c r="B155" s="30" t="s">
        <v>31</v>
      </c>
      <c r="C155" s="29">
        <v>3284.3995709748378</v>
      </c>
    </row>
    <row r="156" spans="1:3" x14ac:dyDescent="0.2">
      <c r="A156" s="30">
        <v>42094</v>
      </c>
      <c r="B156" s="30" t="s">
        <v>33</v>
      </c>
      <c r="C156" s="29">
        <v>1176.556597672472</v>
      </c>
    </row>
    <row r="157" spans="1:3" x14ac:dyDescent="0.2">
      <c r="A157" s="30">
        <v>42094</v>
      </c>
      <c r="B157" s="30" t="s">
        <v>36</v>
      </c>
      <c r="C157" s="29">
        <v>104.14802435040953</v>
      </c>
    </row>
    <row r="158" spans="1:3" x14ac:dyDescent="0.2">
      <c r="A158" s="30">
        <v>42124</v>
      </c>
      <c r="B158" s="30" t="s">
        <v>35</v>
      </c>
      <c r="C158" s="29">
        <v>227.37443412176026</v>
      </c>
    </row>
    <row r="159" spans="1:3" x14ac:dyDescent="0.2">
      <c r="A159" s="30">
        <v>42124</v>
      </c>
      <c r="B159" s="30" t="s">
        <v>31</v>
      </c>
      <c r="C159" s="29">
        <v>3191.4610071319535</v>
      </c>
    </row>
    <row r="160" spans="1:3" x14ac:dyDescent="0.2">
      <c r="A160" s="30">
        <v>42124</v>
      </c>
      <c r="B160" s="30" t="s">
        <v>33</v>
      </c>
      <c r="C160" s="29">
        <v>1143.2636081611215</v>
      </c>
    </row>
    <row r="161" spans="1:3" x14ac:dyDescent="0.2">
      <c r="A161" s="30">
        <v>42124</v>
      </c>
      <c r="B161" s="30" t="s">
        <v>36</v>
      </c>
      <c r="C161" s="29">
        <v>101.20095058516488</v>
      </c>
    </row>
    <row r="162" spans="1:3" x14ac:dyDescent="0.2">
      <c r="A162" s="30">
        <v>42155</v>
      </c>
      <c r="B162" s="30" t="s">
        <v>35</v>
      </c>
      <c r="C162" s="29">
        <v>238.87650969256276</v>
      </c>
    </row>
    <row r="163" spans="1:3" x14ac:dyDescent="0.2">
      <c r="A163" s="30">
        <v>42155</v>
      </c>
      <c r="B163" s="30" t="s">
        <v>31</v>
      </c>
      <c r="C163" s="29">
        <v>3352.9058319518081</v>
      </c>
    </row>
    <row r="164" spans="1:3" x14ac:dyDescent="0.2">
      <c r="A164" s="30">
        <v>42155</v>
      </c>
      <c r="B164" s="30" t="s">
        <v>33</v>
      </c>
      <c r="C164" s="29">
        <v>1201.097306435993</v>
      </c>
    </row>
    <row r="165" spans="1:3" x14ac:dyDescent="0.2">
      <c r="A165" s="30">
        <v>42155</v>
      </c>
      <c r="B165" s="30" t="s">
        <v>36</v>
      </c>
      <c r="C165" s="29">
        <v>106.32035191963627</v>
      </c>
    </row>
    <row r="166" spans="1:3" x14ac:dyDescent="0.2">
      <c r="A166" s="30">
        <v>42185</v>
      </c>
      <c r="B166" s="30" t="s">
        <v>35</v>
      </c>
      <c r="C166" s="29">
        <v>240.62205570966631</v>
      </c>
    </row>
    <row r="167" spans="1:3" x14ac:dyDescent="0.2">
      <c r="A167" s="30">
        <v>42185</v>
      </c>
      <c r="B167" s="30" t="s">
        <v>31</v>
      </c>
      <c r="C167" s="29">
        <v>3377.4065726408749</v>
      </c>
    </row>
    <row r="168" spans="1:3" x14ac:dyDescent="0.2">
      <c r="A168" s="30">
        <v>42185</v>
      </c>
      <c r="B168" s="30" t="s">
        <v>33</v>
      </c>
      <c r="C168" s="29">
        <v>1209.8741033763934</v>
      </c>
    </row>
    <row r="169" spans="1:3" x14ac:dyDescent="0.2">
      <c r="A169" s="30">
        <v>42185</v>
      </c>
      <c r="B169" s="30" t="s">
        <v>36</v>
      </c>
      <c r="C169" s="29">
        <v>107.09726827306601</v>
      </c>
    </row>
    <row r="170" spans="1:3" x14ac:dyDescent="0.2">
      <c r="A170" s="30">
        <v>42216</v>
      </c>
      <c r="B170" s="30" t="s">
        <v>35</v>
      </c>
      <c r="C170" s="29">
        <v>240.6171798828029</v>
      </c>
    </row>
    <row r="171" spans="1:3" x14ac:dyDescent="0.2">
      <c r="A171" s="30">
        <v>42216</v>
      </c>
      <c r="B171" s="30" t="s">
        <v>31</v>
      </c>
      <c r="C171" s="29">
        <v>3377.3381348177213</v>
      </c>
    </row>
    <row r="172" spans="1:3" x14ac:dyDescent="0.2">
      <c r="A172" s="30">
        <v>42216</v>
      </c>
      <c r="B172" s="30" t="s">
        <v>33</v>
      </c>
      <c r="C172" s="29">
        <v>1209.8495871838222</v>
      </c>
    </row>
    <row r="173" spans="1:3" x14ac:dyDescent="0.2">
      <c r="A173" s="30">
        <v>42216</v>
      </c>
      <c r="B173" s="30" t="s">
        <v>36</v>
      </c>
      <c r="C173" s="29">
        <v>107.09509811565418</v>
      </c>
    </row>
    <row r="174" spans="1:3" x14ac:dyDescent="0.2">
      <c r="A174" s="30">
        <v>42247</v>
      </c>
      <c r="B174" s="30" t="s">
        <v>35</v>
      </c>
      <c r="C174" s="29">
        <v>245.78068053116232</v>
      </c>
    </row>
    <row r="175" spans="1:3" x14ac:dyDescent="0.2">
      <c r="A175" s="30">
        <v>42247</v>
      </c>
      <c r="B175" s="30" t="s">
        <v>31</v>
      </c>
      <c r="C175" s="29">
        <v>3449.813789537614</v>
      </c>
    </row>
    <row r="176" spans="1:3" x14ac:dyDescent="0.2">
      <c r="A176" s="30">
        <v>42247</v>
      </c>
      <c r="B176" s="30" t="s">
        <v>33</v>
      </c>
      <c r="C176" s="29">
        <v>1235.8122351164586</v>
      </c>
    </row>
    <row r="177" spans="1:3" x14ac:dyDescent="0.2">
      <c r="A177" s="30">
        <v>42247</v>
      </c>
      <c r="B177" s="30" t="s">
        <v>36</v>
      </c>
      <c r="C177" s="29">
        <v>109.39329481476618</v>
      </c>
    </row>
    <row r="178" spans="1:3" x14ac:dyDescent="0.2">
      <c r="A178" s="30">
        <v>42277</v>
      </c>
      <c r="B178" s="30" t="s">
        <v>35</v>
      </c>
      <c r="C178" s="29">
        <v>267.93643779853261</v>
      </c>
    </row>
    <row r="179" spans="1:3" x14ac:dyDescent="0.2">
      <c r="A179" s="30">
        <v>42277</v>
      </c>
      <c r="B179" s="30" t="s">
        <v>31</v>
      </c>
      <c r="C179" s="29">
        <v>3760.7952579485582</v>
      </c>
    </row>
    <row r="180" spans="1:3" x14ac:dyDescent="0.2">
      <c r="A180" s="30">
        <v>42277</v>
      </c>
      <c r="B180" s="30" t="s">
        <v>33</v>
      </c>
      <c r="C180" s="29">
        <v>1347.2138141588564</v>
      </c>
    </row>
    <row r="181" spans="1:3" x14ac:dyDescent="0.2">
      <c r="A181" s="30">
        <v>42277</v>
      </c>
      <c r="B181" s="30" t="s">
        <v>36</v>
      </c>
      <c r="C181" s="29">
        <v>119.25449009405314</v>
      </c>
    </row>
    <row r="182" spans="1:3" x14ac:dyDescent="0.2">
      <c r="A182" s="30">
        <v>42308</v>
      </c>
      <c r="B182" s="30" t="s">
        <v>35</v>
      </c>
      <c r="C182" s="29">
        <v>285.07009339658259</v>
      </c>
    </row>
    <row r="183" spans="1:3" x14ac:dyDescent="0.2">
      <c r="A183" s="30">
        <v>42308</v>
      </c>
      <c r="B183" s="30" t="s">
        <v>31</v>
      </c>
      <c r="C183" s="29">
        <v>4001.2857685110721</v>
      </c>
    </row>
    <row r="184" spans="1:3" x14ac:dyDescent="0.2">
      <c r="A184" s="30">
        <v>42308</v>
      </c>
      <c r="B184" s="30" t="s">
        <v>33</v>
      </c>
      <c r="C184" s="29">
        <v>1433.3637148531755</v>
      </c>
    </row>
    <row r="185" spans="1:3" x14ac:dyDescent="0.2">
      <c r="A185" s="30">
        <v>42308</v>
      </c>
      <c r="B185" s="30" t="s">
        <v>36</v>
      </c>
      <c r="C185" s="29">
        <v>126.88042323917075</v>
      </c>
    </row>
    <row r="186" spans="1:3" x14ac:dyDescent="0.2">
      <c r="A186" s="30">
        <v>42338</v>
      </c>
      <c r="B186" s="30" t="s">
        <v>35</v>
      </c>
      <c r="C186" s="29">
        <v>288.11260935935525</v>
      </c>
    </row>
    <row r="187" spans="1:3" x14ac:dyDescent="0.2">
      <c r="A187" s="30">
        <v>42338</v>
      </c>
      <c r="B187" s="30" t="s">
        <v>31</v>
      </c>
      <c r="C187" s="29">
        <v>4043.9909701590536</v>
      </c>
    </row>
    <row r="188" spans="1:3" x14ac:dyDescent="0.2">
      <c r="A188" s="30">
        <v>42338</v>
      </c>
      <c r="B188" s="30" t="s">
        <v>33</v>
      </c>
      <c r="C188" s="29">
        <v>1448.6618190174484</v>
      </c>
    </row>
    <row r="189" spans="1:3" x14ac:dyDescent="0.2">
      <c r="A189" s="30">
        <v>42338</v>
      </c>
      <c r="B189" s="30" t="s">
        <v>36</v>
      </c>
      <c r="C189" s="29">
        <v>128.23460146414325</v>
      </c>
    </row>
    <row r="190" spans="1:3" x14ac:dyDescent="0.2">
      <c r="A190" s="30">
        <v>42369</v>
      </c>
      <c r="B190" s="30" t="s">
        <v>35</v>
      </c>
      <c r="C190" s="29">
        <v>334.01364345156998</v>
      </c>
    </row>
    <row r="191" spans="1:3" x14ac:dyDescent="0.2">
      <c r="A191" s="30">
        <v>42369</v>
      </c>
      <c r="B191" s="30" t="s">
        <v>31</v>
      </c>
      <c r="C191" s="29">
        <v>4688.2646373290881</v>
      </c>
    </row>
    <row r="192" spans="1:3" x14ac:dyDescent="0.2">
      <c r="A192" s="30">
        <v>42369</v>
      </c>
      <c r="B192" s="30" t="s">
        <v>33</v>
      </c>
      <c r="C192" s="29">
        <v>1679.4572558803739</v>
      </c>
    </row>
    <row r="193" spans="1:3" x14ac:dyDescent="0.2">
      <c r="A193" s="30">
        <v>42369</v>
      </c>
      <c r="B193" s="30" t="s">
        <v>36</v>
      </c>
      <c r="C193" s="29">
        <v>148.66446333896883</v>
      </c>
    </row>
    <row r="194" spans="1:3" x14ac:dyDescent="0.2">
      <c r="A194" s="30">
        <v>42400</v>
      </c>
      <c r="B194" s="30" t="s">
        <v>35</v>
      </c>
      <c r="C194" s="29">
        <v>323.83291696075378</v>
      </c>
    </row>
    <row r="195" spans="1:3" x14ac:dyDescent="0.2">
      <c r="A195" s="30">
        <v>42400</v>
      </c>
      <c r="B195" s="30" t="s">
        <v>31</v>
      </c>
      <c r="C195" s="29">
        <v>4545.3664625839183</v>
      </c>
    </row>
    <row r="196" spans="1:3" x14ac:dyDescent="0.2">
      <c r="A196" s="30">
        <v>42400</v>
      </c>
      <c r="B196" s="30" t="s">
        <v>33</v>
      </c>
      <c r="C196" s="29">
        <v>1628.2674457922299</v>
      </c>
    </row>
    <row r="197" spans="1:3" x14ac:dyDescent="0.2">
      <c r="A197" s="30">
        <v>42400</v>
      </c>
      <c r="B197" s="30" t="s">
        <v>36</v>
      </c>
      <c r="C197" s="29">
        <v>144.13317466309934</v>
      </c>
    </row>
    <row r="198" spans="1:3" x14ac:dyDescent="0.2">
      <c r="A198" s="30">
        <v>42429</v>
      </c>
      <c r="B198" s="30" t="s">
        <v>35</v>
      </c>
      <c r="C198" s="29">
        <v>292.64225251547032</v>
      </c>
    </row>
    <row r="199" spans="1:3" x14ac:dyDescent="0.2">
      <c r="A199" s="30">
        <v>42429</v>
      </c>
      <c r="B199" s="30" t="s">
        <v>31</v>
      </c>
      <c r="C199" s="29">
        <v>4107.56970786895</v>
      </c>
    </row>
    <row r="200" spans="1:3" x14ac:dyDescent="0.2">
      <c r="A200" s="30">
        <v>42429</v>
      </c>
      <c r="B200" s="30" t="s">
        <v>33</v>
      </c>
      <c r="C200" s="29">
        <v>1471.4373619158612</v>
      </c>
    </row>
    <row r="201" spans="1:3" x14ac:dyDescent="0.2">
      <c r="A201" s="30">
        <v>42429</v>
      </c>
      <c r="B201" s="30" t="s">
        <v>36</v>
      </c>
      <c r="C201" s="29">
        <v>130.25067769971932</v>
      </c>
    </row>
    <row r="202" spans="1:3" x14ac:dyDescent="0.2">
      <c r="A202" s="30">
        <v>42460</v>
      </c>
      <c r="B202" s="30" t="s">
        <v>35</v>
      </c>
      <c r="C202" s="29">
        <v>282.63705579173711</v>
      </c>
    </row>
    <row r="203" spans="1:3" x14ac:dyDescent="0.2">
      <c r="A203" s="30">
        <v>42460</v>
      </c>
      <c r="B203" s="30" t="s">
        <v>31</v>
      </c>
      <c r="C203" s="29">
        <v>3967.1352947573168</v>
      </c>
    </row>
    <row r="204" spans="1:3" x14ac:dyDescent="0.2">
      <c r="A204" s="30">
        <v>42460</v>
      </c>
      <c r="B204" s="30" t="s">
        <v>33</v>
      </c>
      <c r="C204" s="29">
        <v>1421.1301347602712</v>
      </c>
    </row>
    <row r="205" spans="1:3" x14ac:dyDescent="0.2">
      <c r="A205" s="30">
        <v>42460</v>
      </c>
      <c r="B205" s="30" t="s">
        <v>36</v>
      </c>
      <c r="C205" s="29">
        <v>125.79751469067511</v>
      </c>
    </row>
    <row r="206" spans="1:3" x14ac:dyDescent="0.2">
      <c r="A206" s="30">
        <v>42490</v>
      </c>
      <c r="B206" s="30" t="s">
        <v>35</v>
      </c>
      <c r="C206" s="29">
        <v>281.55949805492179</v>
      </c>
    </row>
    <row r="207" spans="1:3" x14ac:dyDescent="0.2">
      <c r="A207" s="30">
        <v>42490</v>
      </c>
      <c r="B207" s="30" t="s">
        <v>31</v>
      </c>
      <c r="C207" s="29">
        <v>3952.0105358403239</v>
      </c>
    </row>
    <row r="208" spans="1:3" x14ac:dyDescent="0.2">
      <c r="A208" s="30">
        <v>42490</v>
      </c>
      <c r="B208" s="30" t="s">
        <v>33</v>
      </c>
      <c r="C208" s="29">
        <v>1415.7120562020914</v>
      </c>
    </row>
    <row r="209" spans="1:3" x14ac:dyDescent="0.2">
      <c r="A209" s="30">
        <v>42490</v>
      </c>
      <c r="B209" s="30" t="s">
        <v>36</v>
      </c>
      <c r="C209" s="29">
        <v>125.31790990266401</v>
      </c>
    </row>
    <row r="210" spans="1:3" x14ac:dyDescent="0.2">
      <c r="A210" s="30">
        <v>42521</v>
      </c>
      <c r="B210" s="30" t="s">
        <v>35</v>
      </c>
      <c r="C210" s="29">
        <v>301.11156377722699</v>
      </c>
    </row>
    <row r="211" spans="1:3" x14ac:dyDescent="0.2">
      <c r="A211" s="30">
        <v>42521</v>
      </c>
      <c r="B211" s="30" t="s">
        <v>31</v>
      </c>
      <c r="C211" s="29">
        <v>4226.4462066871311</v>
      </c>
    </row>
    <row r="212" spans="1:3" x14ac:dyDescent="0.2">
      <c r="A212" s="30">
        <v>42521</v>
      </c>
      <c r="B212" s="30" t="s">
        <v>33</v>
      </c>
      <c r="C212" s="29">
        <v>1514.0219884116018</v>
      </c>
    </row>
    <row r="213" spans="1:3" x14ac:dyDescent="0.2">
      <c r="A213" s="30">
        <v>42521</v>
      </c>
      <c r="B213" s="30" t="s">
        <v>36</v>
      </c>
      <c r="C213" s="29">
        <v>134.02024112404183</v>
      </c>
    </row>
    <row r="214" spans="1:3" x14ac:dyDescent="0.2">
      <c r="A214" s="30">
        <v>42551</v>
      </c>
      <c r="B214" s="30" t="s">
        <v>35</v>
      </c>
      <c r="C214" s="29">
        <v>295.3678397321209</v>
      </c>
    </row>
    <row r="215" spans="1:3" x14ac:dyDescent="0.2">
      <c r="A215" s="30">
        <v>42551</v>
      </c>
      <c r="B215" s="30" t="s">
        <v>31</v>
      </c>
      <c r="C215" s="29">
        <v>4145.8264510119334</v>
      </c>
    </row>
    <row r="216" spans="1:3" x14ac:dyDescent="0.2">
      <c r="A216" s="30">
        <v>42551</v>
      </c>
      <c r="B216" s="30" t="s">
        <v>33</v>
      </c>
      <c r="C216" s="29">
        <v>1485.1419135630224</v>
      </c>
    </row>
    <row r="217" spans="1:3" x14ac:dyDescent="0.2">
      <c r="A217" s="30">
        <v>42551</v>
      </c>
      <c r="B217" s="30" t="s">
        <v>36</v>
      </c>
      <c r="C217" s="29">
        <v>131.46379569292387</v>
      </c>
    </row>
    <row r="218" spans="1:3" x14ac:dyDescent="0.2">
      <c r="A218" s="30">
        <v>42582</v>
      </c>
      <c r="B218" s="30" t="s">
        <v>35</v>
      </c>
      <c r="C218" s="29">
        <v>293.14446268240238</v>
      </c>
    </row>
    <row r="219" spans="1:3" x14ac:dyDescent="0.2">
      <c r="A219" s="30">
        <v>42582</v>
      </c>
      <c r="B219" s="30" t="s">
        <v>31</v>
      </c>
      <c r="C219" s="29">
        <v>4114.6188036537933</v>
      </c>
    </row>
    <row r="220" spans="1:3" x14ac:dyDescent="0.2">
      <c r="A220" s="30">
        <v>42582</v>
      </c>
      <c r="B220" s="30" t="s">
        <v>33</v>
      </c>
      <c r="C220" s="29">
        <v>1473.9625297506689</v>
      </c>
    </row>
    <row r="221" spans="1:3" x14ac:dyDescent="0.2">
      <c r="A221" s="30">
        <v>42582</v>
      </c>
      <c r="B221" s="30" t="s">
        <v>36</v>
      </c>
      <c r="C221" s="29">
        <v>130.47420391313625</v>
      </c>
    </row>
    <row r="222" spans="1:3" x14ac:dyDescent="0.2">
      <c r="A222" s="30">
        <v>42613</v>
      </c>
      <c r="B222" s="30" t="s">
        <v>35</v>
      </c>
      <c r="C222" s="29">
        <v>296.32350179735073</v>
      </c>
    </row>
    <row r="223" spans="1:3" x14ac:dyDescent="0.2">
      <c r="A223" s="30">
        <v>42613</v>
      </c>
      <c r="B223" s="30" t="s">
        <v>31</v>
      </c>
      <c r="C223" s="29">
        <v>4159.2402643500818</v>
      </c>
    </row>
    <row r="224" spans="1:3" x14ac:dyDescent="0.2">
      <c r="A224" s="30">
        <v>42613</v>
      </c>
      <c r="B224" s="30" t="s">
        <v>33</v>
      </c>
      <c r="C224" s="29">
        <v>1489.9470873069286</v>
      </c>
    </row>
    <row r="225" spans="1:3" x14ac:dyDescent="0.2">
      <c r="A225" s="30">
        <v>42613</v>
      </c>
      <c r="B225" s="30" t="s">
        <v>36</v>
      </c>
      <c r="C225" s="29">
        <v>131.88914654563956</v>
      </c>
    </row>
    <row r="226" spans="1:3" x14ac:dyDescent="0.2">
      <c r="A226" s="30">
        <v>42643</v>
      </c>
      <c r="B226" s="30" t="s">
        <v>35</v>
      </c>
      <c r="C226" s="29">
        <v>319.54218932094614</v>
      </c>
    </row>
    <row r="227" spans="1:3" x14ac:dyDescent="0.2">
      <c r="A227" s="30">
        <v>42643</v>
      </c>
      <c r="B227" s="30" t="s">
        <v>31</v>
      </c>
      <c r="C227" s="29">
        <v>4485.1411782085588</v>
      </c>
    </row>
    <row r="228" spans="1:3" x14ac:dyDescent="0.2">
      <c r="A228" s="30">
        <v>42643</v>
      </c>
      <c r="B228" s="30" t="s">
        <v>33</v>
      </c>
      <c r="C228" s="29">
        <v>1606.6931963297936</v>
      </c>
    </row>
    <row r="229" spans="1:3" x14ac:dyDescent="0.2">
      <c r="A229" s="30">
        <v>42643</v>
      </c>
      <c r="B229" s="30" t="s">
        <v>36</v>
      </c>
      <c r="C229" s="29">
        <v>142.2234361407022</v>
      </c>
    </row>
    <row r="230" spans="1:3" x14ac:dyDescent="0.2">
      <c r="A230" s="30">
        <v>42674</v>
      </c>
      <c r="B230" s="30" t="s">
        <v>35</v>
      </c>
      <c r="C230" s="29">
        <v>341.19573642138437</v>
      </c>
    </row>
    <row r="231" spans="1:3" x14ac:dyDescent="0.2">
      <c r="A231" s="30">
        <v>42674</v>
      </c>
      <c r="B231" s="30" t="s">
        <v>31</v>
      </c>
      <c r="C231" s="29">
        <v>4789.0735508346606</v>
      </c>
    </row>
    <row r="232" spans="1:3" x14ac:dyDescent="0.2">
      <c r="A232" s="30">
        <v>42674</v>
      </c>
      <c r="B232" s="30" t="s">
        <v>33</v>
      </c>
      <c r="C232" s="29">
        <v>1715.5696075373833</v>
      </c>
    </row>
    <row r="233" spans="1:3" x14ac:dyDescent="0.2">
      <c r="A233" s="30">
        <v>42674</v>
      </c>
      <c r="B233" s="30" t="s">
        <v>36</v>
      </c>
      <c r="C233" s="29">
        <v>151.86110520657223</v>
      </c>
    </row>
    <row r="234" spans="1:3" x14ac:dyDescent="0.2">
      <c r="A234" s="30">
        <v>42704</v>
      </c>
      <c r="B234" s="28" t="s">
        <v>34</v>
      </c>
      <c r="C234" s="31">
        <v>332.61428114176908</v>
      </c>
    </row>
    <row r="235" spans="1:3" x14ac:dyDescent="0.2">
      <c r="A235" s="30">
        <v>42704</v>
      </c>
      <c r="B235" s="28" t="s">
        <v>30</v>
      </c>
      <c r="C235" s="31">
        <v>4668.6229820839426</v>
      </c>
    </row>
    <row r="236" spans="1:3" x14ac:dyDescent="0.2">
      <c r="A236" s="30">
        <v>42704</v>
      </c>
      <c r="B236" s="28" t="s">
        <v>32</v>
      </c>
      <c r="C236" s="31">
        <v>1672.4211086125108</v>
      </c>
    </row>
    <row r="237" spans="1:3" x14ac:dyDescent="0.2">
      <c r="A237" s="30">
        <v>42704</v>
      </c>
      <c r="B237" s="28" t="s">
        <v>29</v>
      </c>
      <c r="C237" s="31">
        <v>148.04162816177796</v>
      </c>
    </row>
    <row r="238" spans="1:3" x14ac:dyDescent="0.2">
      <c r="A238" s="30">
        <v>42735</v>
      </c>
      <c r="B238" s="28" t="s">
        <v>34</v>
      </c>
      <c r="C238" s="31">
        <v>365.6480081414245</v>
      </c>
    </row>
    <row r="239" spans="1:3" x14ac:dyDescent="0.2">
      <c r="A239" s="30">
        <v>42735</v>
      </c>
      <c r="B239" s="28" t="s">
        <v>30</v>
      </c>
      <c r="C239" s="31">
        <v>5132.2892339510536</v>
      </c>
    </row>
    <row r="240" spans="1:3" x14ac:dyDescent="0.2">
      <c r="A240" s="30">
        <v>42735</v>
      </c>
      <c r="B240" s="28" t="s">
        <v>32</v>
      </c>
      <c r="C240" s="31">
        <v>1838.5183132806985</v>
      </c>
    </row>
    <row r="241" spans="1:3" x14ac:dyDescent="0.2">
      <c r="A241" s="30">
        <v>42735</v>
      </c>
      <c r="B241" s="28" t="s">
        <v>29</v>
      </c>
      <c r="C241" s="31">
        <v>162.74444462682405</v>
      </c>
    </row>
    <row r="242" spans="1:3" x14ac:dyDescent="0.2">
      <c r="A242" s="30">
        <v>42766</v>
      </c>
      <c r="B242" s="28" t="s">
        <v>34</v>
      </c>
      <c r="C242" s="29">
        <v>365.11654301331197</v>
      </c>
    </row>
    <row r="243" spans="1:3" x14ac:dyDescent="0.2">
      <c r="A243" s="30">
        <v>42766</v>
      </c>
      <c r="B243" s="28" t="s">
        <v>30</v>
      </c>
      <c r="C243" s="29">
        <v>5124.8295112272872</v>
      </c>
    </row>
    <row r="244" spans="1:3" x14ac:dyDescent="0.2">
      <c r="A244" s="30">
        <v>42766</v>
      </c>
      <c r="B244" s="28" t="s">
        <v>32</v>
      </c>
      <c r="C244" s="29">
        <v>1835.8460482904652</v>
      </c>
    </row>
    <row r="245" spans="1:3" x14ac:dyDescent="0.2">
      <c r="A245" s="30">
        <v>42766</v>
      </c>
      <c r="B245" s="28" t="s">
        <v>29</v>
      </c>
      <c r="C245" s="29">
        <v>162.50789746893622</v>
      </c>
    </row>
    <row r="246" spans="1:3" x14ac:dyDescent="0.2">
      <c r="A246" s="30">
        <v>42794</v>
      </c>
      <c r="B246" s="28" t="s">
        <v>34</v>
      </c>
      <c r="C246" s="29">
        <v>341.97586871953132</v>
      </c>
    </row>
    <row r="247" spans="1:3" x14ac:dyDescent="0.2">
      <c r="A247" s="30">
        <v>42794</v>
      </c>
      <c r="B247" s="28" t="s">
        <v>30</v>
      </c>
      <c r="C247" s="29">
        <v>4800.0236025392715</v>
      </c>
    </row>
    <row r="248" spans="1:3" x14ac:dyDescent="0.2">
      <c r="A248" s="30">
        <v>42794</v>
      </c>
      <c r="B248" s="28" t="s">
        <v>32</v>
      </c>
      <c r="C248" s="29">
        <v>1719.4921983487354</v>
      </c>
    </row>
    <row r="249" spans="1:3" x14ac:dyDescent="0.2">
      <c r="A249" s="30">
        <v>42794</v>
      </c>
      <c r="B249" s="28" t="s">
        <v>29</v>
      </c>
      <c r="C249" s="29">
        <v>152.20833039246264</v>
      </c>
    </row>
    <row r="250" spans="1:3" x14ac:dyDescent="0.2">
      <c r="A250" s="30">
        <v>42825</v>
      </c>
      <c r="B250" s="28" t="s">
        <v>34</v>
      </c>
      <c r="C250" s="29">
        <v>325.98803243438442</v>
      </c>
    </row>
    <row r="251" spans="1:3" x14ac:dyDescent="0.2">
      <c r="A251" s="30">
        <v>42825</v>
      </c>
      <c r="B251" s="28" t="s">
        <v>30</v>
      </c>
      <c r="C251" s="29">
        <v>4575.6159804179051</v>
      </c>
    </row>
    <row r="252" spans="1:3" x14ac:dyDescent="0.2">
      <c r="A252" s="30">
        <v>42825</v>
      </c>
      <c r="B252" s="28" t="s">
        <v>32</v>
      </c>
      <c r="C252" s="29">
        <v>1639.1036029085894</v>
      </c>
    </row>
    <row r="253" spans="1:3" x14ac:dyDescent="0.2">
      <c r="A253" s="30">
        <v>42825</v>
      </c>
      <c r="B253" s="28" t="s">
        <v>29</v>
      </c>
      <c r="C253" s="29">
        <v>145.09238423912151</v>
      </c>
    </row>
    <row r="254" spans="1:3" x14ac:dyDescent="0.2">
      <c r="A254" s="30">
        <v>42855</v>
      </c>
      <c r="B254" s="28" t="s">
        <v>34</v>
      </c>
      <c r="C254" s="29">
        <v>325.33954746154984</v>
      </c>
    </row>
    <row r="255" spans="1:3" x14ac:dyDescent="0.2">
      <c r="A255" s="30">
        <v>42855</v>
      </c>
      <c r="B255" s="28" t="s">
        <v>30</v>
      </c>
      <c r="C255" s="29">
        <v>4566.5137499384473</v>
      </c>
    </row>
    <row r="256" spans="1:3" x14ac:dyDescent="0.2">
      <c r="A256" s="30">
        <v>42855</v>
      </c>
      <c r="B256" s="28" t="s">
        <v>32</v>
      </c>
      <c r="C256" s="29">
        <v>1635.8429492966532</v>
      </c>
    </row>
    <row r="257" spans="1:3" x14ac:dyDescent="0.2">
      <c r="A257" s="30">
        <v>42855</v>
      </c>
      <c r="B257" s="28" t="s">
        <v>29</v>
      </c>
      <c r="C257" s="29">
        <v>144.80375330335016</v>
      </c>
    </row>
    <row r="258" spans="1:3" x14ac:dyDescent="0.2">
      <c r="A258" s="30">
        <v>42886</v>
      </c>
      <c r="B258" s="28" t="s">
        <v>34</v>
      </c>
      <c r="C258" s="29">
        <v>348.98730774912599</v>
      </c>
    </row>
    <row r="259" spans="1:3" x14ac:dyDescent="0.2">
      <c r="A259" s="30">
        <v>42886</v>
      </c>
      <c r="B259" s="28" t="s">
        <v>30</v>
      </c>
      <c r="C259" s="29">
        <v>4898.4371922344608</v>
      </c>
    </row>
    <row r="260" spans="1:3" x14ac:dyDescent="0.2">
      <c r="A260" s="30">
        <v>42886</v>
      </c>
      <c r="B260" s="28" t="s">
        <v>32</v>
      </c>
      <c r="C260" s="29">
        <v>1754.746483265762</v>
      </c>
    </row>
    <row r="261" spans="1:3" x14ac:dyDescent="0.2">
      <c r="A261" s="30">
        <v>42886</v>
      </c>
      <c r="B261" s="28" t="s">
        <v>29</v>
      </c>
      <c r="C261" s="29">
        <v>155.32901675065247</v>
      </c>
    </row>
    <row r="262" spans="1:3" x14ac:dyDescent="0.2">
      <c r="A262" s="30">
        <v>42916</v>
      </c>
      <c r="B262" s="28" t="s">
        <v>34</v>
      </c>
      <c r="C262" s="29">
        <v>342.57559542373167</v>
      </c>
    </row>
    <row r="263" spans="1:3" x14ac:dyDescent="0.2">
      <c r="A263" s="30">
        <v>42916</v>
      </c>
      <c r="B263" s="28" t="s">
        <v>30</v>
      </c>
      <c r="C263" s="29">
        <v>4808.4414547871911</v>
      </c>
    </row>
    <row r="264" spans="1:3" x14ac:dyDescent="0.2">
      <c r="A264" s="30">
        <v>42916</v>
      </c>
      <c r="B264" s="28" t="s">
        <v>32</v>
      </c>
      <c r="C264" s="29">
        <v>1722.5076900349623</v>
      </c>
    </row>
    <row r="265" spans="1:3" x14ac:dyDescent="0.2">
      <c r="A265" s="30">
        <v>42916</v>
      </c>
      <c r="B265" s="28" t="s">
        <v>29</v>
      </c>
      <c r="C265" s="29">
        <v>152.47525975411585</v>
      </c>
    </row>
    <row r="266" spans="1:3" x14ac:dyDescent="0.2">
      <c r="A266" s="30">
        <v>42947</v>
      </c>
      <c r="B266" s="28" t="s">
        <v>34</v>
      </c>
      <c r="C266" s="29">
        <v>341.22011555570151</v>
      </c>
    </row>
    <row r="267" spans="1:3" x14ac:dyDescent="0.2">
      <c r="A267" s="30">
        <v>42947</v>
      </c>
      <c r="B267" s="28" t="s">
        <v>30</v>
      </c>
      <c r="C267" s="29">
        <v>4789.4157399504302</v>
      </c>
    </row>
    <row r="268" spans="1:3" x14ac:dyDescent="0.2">
      <c r="A268" s="30">
        <v>42947</v>
      </c>
      <c r="B268" s="28" t="s">
        <v>32</v>
      </c>
      <c r="C268" s="29">
        <v>1715.6921885002384</v>
      </c>
    </row>
    <row r="269" spans="1:3" x14ac:dyDescent="0.2">
      <c r="A269" s="30">
        <v>42947</v>
      </c>
      <c r="B269" s="28" t="s">
        <v>29</v>
      </c>
      <c r="C269" s="29">
        <v>151.87195599363133</v>
      </c>
    </row>
    <row r="270" spans="1:3" x14ac:dyDescent="0.2">
      <c r="A270" s="30">
        <v>42978</v>
      </c>
      <c r="B270" s="28" t="s">
        <v>34</v>
      </c>
      <c r="C270" s="29">
        <v>346.99309456198819</v>
      </c>
    </row>
    <row r="271" spans="1:3" x14ac:dyDescent="0.2">
      <c r="A271" s="30">
        <v>42978</v>
      </c>
      <c r="B271" s="28" t="s">
        <v>30</v>
      </c>
      <c r="C271" s="29">
        <v>4870.44612256455</v>
      </c>
    </row>
    <row r="272" spans="1:3" x14ac:dyDescent="0.2">
      <c r="A272" s="30">
        <v>42978</v>
      </c>
      <c r="B272" s="28" t="s">
        <v>32</v>
      </c>
      <c r="C272" s="29">
        <v>1744.7193605042435</v>
      </c>
    </row>
    <row r="273" spans="1:7" x14ac:dyDescent="0.2">
      <c r="A273" s="30">
        <v>42978</v>
      </c>
      <c r="B273" s="28" t="s">
        <v>29</v>
      </c>
      <c r="C273" s="29">
        <v>154.44142236922019</v>
      </c>
    </row>
    <row r="274" spans="1:7" x14ac:dyDescent="0.2">
      <c r="A274" s="30">
        <v>43008</v>
      </c>
      <c r="B274" s="28" t="s">
        <v>34</v>
      </c>
      <c r="C274" s="29">
        <v>373.89790719432733</v>
      </c>
    </row>
    <row r="275" spans="1:7" x14ac:dyDescent="0.2">
      <c r="A275" s="30">
        <v>43008</v>
      </c>
      <c r="B275" s="28" t="s">
        <v>30</v>
      </c>
      <c r="C275" s="29">
        <v>5248.0860307273124</v>
      </c>
    </row>
    <row r="276" spans="1:7" x14ac:dyDescent="0.2">
      <c r="A276" s="30">
        <v>43008</v>
      </c>
      <c r="B276" s="28" t="s">
        <v>32</v>
      </c>
      <c r="C276" s="29">
        <v>1879.9997111107466</v>
      </c>
    </row>
    <row r="277" spans="1:7" x14ac:dyDescent="0.2">
      <c r="A277" s="30">
        <v>43008</v>
      </c>
      <c r="B277" s="28" t="s">
        <v>29</v>
      </c>
      <c r="C277" s="29">
        <v>166.41635096761487</v>
      </c>
    </row>
    <row r="278" spans="1:7" x14ac:dyDescent="0.2">
      <c r="A278" s="30">
        <v>43039</v>
      </c>
      <c r="B278" s="28" t="s">
        <v>34</v>
      </c>
      <c r="C278" s="29">
        <v>402.88957372420936</v>
      </c>
      <c r="G278"/>
    </row>
    <row r="279" spans="1:7" x14ac:dyDescent="0.2">
      <c r="A279" s="30">
        <v>43039</v>
      </c>
      <c r="B279" s="28" t="s">
        <v>30</v>
      </c>
      <c r="C279" s="29">
        <v>5655.0173271999092</v>
      </c>
      <c r="G279"/>
    </row>
    <row r="280" spans="1:7" x14ac:dyDescent="0.2">
      <c r="A280" s="30">
        <v>43039</v>
      </c>
      <c r="B280" s="28" t="s">
        <v>32</v>
      </c>
      <c r="C280" s="29">
        <v>2025.7729921376167</v>
      </c>
      <c r="G280"/>
    </row>
    <row r="281" spans="1:7" x14ac:dyDescent="0.2">
      <c r="A281" s="30">
        <v>43039</v>
      </c>
      <c r="B281" s="28" t="s">
        <v>29</v>
      </c>
      <c r="C281" s="29">
        <v>179.32010693826638</v>
      </c>
      <c r="G281"/>
    </row>
  </sheetData>
  <autoFilter ref="A1:C281" xr:uid="{CC1CB5D2-EAF4-4B64-8B8B-E36D32A1D5BE}"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5484-17D4-470E-A521-8A7887BD6A85}">
  <sheetPr codeName="Sheet1">
    <tabColor rgb="FFFFC000"/>
  </sheetPr>
  <dimension ref="B1:T128"/>
  <sheetViews>
    <sheetView showGridLines="0" tabSelected="1" topLeftCell="A13" workbookViewId="0">
      <selection activeCell="M38" sqref="M38"/>
    </sheetView>
  </sheetViews>
  <sheetFormatPr defaultColWidth="8.875" defaultRowHeight="18.75" customHeight="1" x14ac:dyDescent="0.2"/>
  <cols>
    <col min="1" max="1" width="2.625" style="4" customWidth="1"/>
    <col min="2" max="2" width="11.125" style="15" customWidth="1"/>
    <col min="3" max="3" width="13.25" style="4" customWidth="1"/>
    <col min="4" max="4" width="11.375" style="4" customWidth="1"/>
    <col min="5" max="5" width="11.375" style="16" customWidth="1"/>
    <col min="6" max="10" width="11.375" style="4" hidden="1" customWidth="1"/>
    <col min="11" max="11" width="11.375" style="4" customWidth="1"/>
    <col min="12" max="12" width="2.5" style="4" customWidth="1"/>
    <col min="13" max="13" width="10.25" style="4" customWidth="1"/>
    <col min="14" max="14" width="9" style="4" bestFit="1" customWidth="1"/>
    <col min="15" max="15" width="10.25" style="4" customWidth="1"/>
    <col min="16" max="16" width="7.625" style="4" customWidth="1"/>
    <col min="17" max="17" width="13" style="4" hidden="1" customWidth="1"/>
    <col min="18" max="20" width="8.875" style="4" hidden="1" customWidth="1"/>
    <col min="21" max="21" width="3.625" style="4" customWidth="1"/>
    <col min="22" max="23" width="8.875" style="4"/>
    <col min="24" max="24" width="16.5" style="4" customWidth="1"/>
    <col min="25" max="16384" width="8.875" style="4"/>
  </cols>
  <sheetData>
    <row r="1" spans="2:20" ht="6" customHeight="1" x14ac:dyDescent="0.2"/>
    <row r="2" spans="2:20" ht="20.25" thickBot="1" x14ac:dyDescent="0.25">
      <c r="B2" s="22" t="s">
        <v>20</v>
      </c>
      <c r="C2" s="23"/>
      <c r="D2" s="23"/>
      <c r="E2" s="22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2:20" ht="4.5" customHeight="1" thickTop="1" x14ac:dyDescent="0.2">
      <c r="B3" s="16"/>
    </row>
    <row r="4" spans="2:20" ht="18.75" customHeight="1" x14ac:dyDescent="0.2">
      <c r="B4" s="17" t="s">
        <v>10</v>
      </c>
      <c r="C4" s="21">
        <f>COUNT(D:D)</f>
        <v>70</v>
      </c>
      <c r="E4" s="4"/>
      <c r="T4" s="12" t="s">
        <v>12</v>
      </c>
    </row>
    <row r="5" spans="2:20" ht="18.75" customHeight="1" x14ac:dyDescent="0.2">
      <c r="B5" s="17" t="s">
        <v>11</v>
      </c>
      <c r="C5" s="18">
        <v>24</v>
      </c>
      <c r="K5" s="24" t="s">
        <v>21</v>
      </c>
      <c r="Q5" s="4" t="s">
        <v>7</v>
      </c>
      <c r="R5" s="13">
        <f t="array" aca="1" ref="R5:S5" ca="1">LINEST(OFFSET(F9,,,C4),,TRUE,TRUE)</f>
        <v>67.203720819621083</v>
      </c>
      <c r="S5" s="13">
        <f ca="1"/>
        <v>2672.8132472124626</v>
      </c>
      <c r="T5" s="14">
        <f ca="1">PEARSON(OFFSET(F9,,,C4),OFFSET(B9,,,C4))^2</f>
        <v>0.97067311664975875</v>
      </c>
    </row>
    <row r="6" spans="2:20" ht="18.75" customHeight="1" x14ac:dyDescent="0.2">
      <c r="B6" s="17" t="s">
        <v>13</v>
      </c>
      <c r="C6" s="21" t="s">
        <v>23</v>
      </c>
      <c r="K6" s="21" t="str">
        <f ca="1">IFERROR(IF(AND(T5&gt;=T6,T5&gt;=0.7),"线性模型",IF(AND(T6&gt;T5,T6&gt;=0.7),"指数模型","无法预测")),"")</f>
        <v>指数模型</v>
      </c>
      <c r="Q6" s="4" t="s">
        <v>8</v>
      </c>
      <c r="R6" s="13">
        <f t="array" aca="1" ref="R6:S6" ca="1">LOGEST(OFFSET(F9,,,C4),,TRUE,TRUE)</f>
        <v>1.0134226453972741</v>
      </c>
      <c r="S6" s="13">
        <f ca="1"/>
        <v>3037.5827612138401</v>
      </c>
      <c r="T6" s="14">
        <f ca="1">PEARSON(OFFSET(G9,,,C4),OFFSET(B9,,,C4))^2</f>
        <v>0.99283084776131658</v>
      </c>
    </row>
    <row r="7" spans="2:20" ht="6" customHeight="1" x14ac:dyDescent="0.2"/>
    <row r="8" spans="2:20" ht="18.75" customHeight="1" x14ac:dyDescent="0.2">
      <c r="B8" s="2" t="s">
        <v>4</v>
      </c>
      <c r="C8" s="3" t="s">
        <v>1</v>
      </c>
      <c r="D8" s="3" t="s">
        <v>2</v>
      </c>
      <c r="E8" s="2" t="s">
        <v>3</v>
      </c>
      <c r="F8" s="1" t="s">
        <v>0</v>
      </c>
      <c r="G8" s="1" t="s">
        <v>9</v>
      </c>
      <c r="H8" s="1" t="s">
        <v>5</v>
      </c>
      <c r="I8" s="1" t="s">
        <v>6</v>
      </c>
      <c r="J8" s="2" t="s">
        <v>22</v>
      </c>
      <c r="K8" s="2" t="s">
        <v>14</v>
      </c>
    </row>
    <row r="9" spans="2:20" ht="18.75" customHeight="1" x14ac:dyDescent="0.2">
      <c r="B9" s="5">
        <v>1</v>
      </c>
      <c r="C9" s="26">
        <v>40939</v>
      </c>
      <c r="D9" s="6">
        <f>SUMIFS(销售数据!C:C,销售数据!A:A,时间序列预测工具!C9)</f>
        <v>3596.1</v>
      </c>
      <c r="E9" s="7">
        <v>1.0936923027038574</v>
      </c>
      <c r="F9" s="8">
        <f t="shared" ref="F9:F40" si="0">IF(D9&gt;0,D9/E9,NA())</f>
        <v>3288.0363070212879</v>
      </c>
      <c r="G9" s="9">
        <f>LN(F9)</f>
        <v>8.0980457983965177</v>
      </c>
      <c r="H9" s="10" t="e">
        <f t="shared" ref="H9:H40" si="1">IF(D9="",$S$5+$R$5*B9,NA())*E9</f>
        <v>#N/A</v>
      </c>
      <c r="I9" s="10" t="e">
        <f t="shared" ref="I9:I40" si="2">IF(D9="",$S$6*EXP(($R$6-1)*B9),NA())*E9</f>
        <v>#N/A</v>
      </c>
      <c r="J9" s="5" t="str">
        <f>IF(OR(MONTH(C9)=12,MONTH(C9)=1),"",YEAR(C9))</f>
        <v/>
      </c>
      <c r="K9" s="11" t="e">
        <f>IF(E9="",NA(),IF(B9&lt;$C$4,NA(),IF(B9=$C$4,D9,IF(B9&lt;=$C$4+$C$5,IF($C$6="指数模型",I9,IF($C$6="线性模型",H9,NA())),NA()))))</f>
        <v>#N/A</v>
      </c>
    </row>
    <row r="10" spans="2:20" ht="18.75" customHeight="1" x14ac:dyDescent="0.2">
      <c r="B10" s="5">
        <v>2</v>
      </c>
      <c r="C10" s="27">
        <f>EOMONTH(C9,1)</f>
        <v>40968</v>
      </c>
      <c r="D10" s="6">
        <f>SUMIFS(销售数据!C:C,销售数据!A:A,时间序列预测工具!C10)</f>
        <v>3324.4</v>
      </c>
      <c r="E10" s="7">
        <v>1.0117423534393311</v>
      </c>
      <c r="F10" s="8">
        <f t="shared" si="0"/>
        <v>3285.8167780551921</v>
      </c>
      <c r="G10" s="9">
        <f t="shared" ref="G10:G73" si="3">LN(F10)</f>
        <v>8.0973705386906172</v>
      </c>
      <c r="H10" s="10" t="e">
        <f t="shared" si="1"/>
        <v>#N/A</v>
      </c>
      <c r="I10" s="10" t="e">
        <f t="shared" si="2"/>
        <v>#N/A</v>
      </c>
      <c r="J10" s="5">
        <f t="shared" ref="J10:J73" si="4">IF(OR(MONTH(C10)=12,MONTH(C10)=1),"",YEAR(C10))</f>
        <v>2012</v>
      </c>
      <c r="K10" s="11" t="e">
        <f t="shared" ref="K10:K73" si="5">IF(E10="",NA(),IF(B10&lt;$C$4,NA(),IF(B10=$C$4,D10,IF(B10&lt;=$C$4+$C$5,IF($C$6="指数模型",I10,IF($C$6="线性模型",H10,NA())),NA()))))</f>
        <v>#N/A</v>
      </c>
    </row>
    <row r="11" spans="2:20" ht="18.75" customHeight="1" x14ac:dyDescent="0.2">
      <c r="B11" s="5">
        <v>3</v>
      </c>
      <c r="C11" s="27">
        <f t="shared" ref="C11:C74" si="6">EOMONTH(C10,1)</f>
        <v>40999</v>
      </c>
      <c r="D11" s="6">
        <f>SUMIFS(销售数据!C:C,销售数据!A:A,时间序列预测工具!C11)</f>
        <v>3114.8</v>
      </c>
      <c r="E11" s="7">
        <v>0.95077633857727051</v>
      </c>
      <c r="F11" s="8">
        <f t="shared" si="0"/>
        <v>3276.0596510646728</v>
      </c>
      <c r="G11" s="9">
        <f t="shared" si="3"/>
        <v>8.0943966533128879</v>
      </c>
      <c r="H11" s="10" t="e">
        <f t="shared" si="1"/>
        <v>#N/A</v>
      </c>
      <c r="I11" s="10" t="e">
        <f t="shared" si="2"/>
        <v>#N/A</v>
      </c>
      <c r="J11" s="5">
        <f t="shared" si="4"/>
        <v>2012</v>
      </c>
      <c r="K11" s="11" t="e">
        <f t="shared" si="5"/>
        <v>#N/A</v>
      </c>
    </row>
    <row r="12" spans="2:20" ht="18.75" customHeight="1" x14ac:dyDescent="0.2">
      <c r="B12" s="5">
        <v>4</v>
      </c>
      <c r="C12" s="27">
        <f t="shared" si="6"/>
        <v>41029</v>
      </c>
      <c r="D12" s="6">
        <f>SUMIFS(销售数据!C:C,销售数据!A:A,时间序列预测工具!C12)</f>
        <v>3052.2</v>
      </c>
      <c r="E12" s="7">
        <v>0.92161703109741211</v>
      </c>
      <c r="F12" s="8">
        <f t="shared" si="0"/>
        <v>3311.7877567492474</v>
      </c>
      <c r="G12" s="9">
        <f t="shared" si="3"/>
        <v>8.105243430344629</v>
      </c>
      <c r="H12" s="10" t="e">
        <f t="shared" si="1"/>
        <v>#N/A</v>
      </c>
      <c r="I12" s="10" t="e">
        <f t="shared" si="2"/>
        <v>#N/A</v>
      </c>
      <c r="J12" s="5">
        <f t="shared" si="4"/>
        <v>2012</v>
      </c>
      <c r="K12" s="11" t="e">
        <f t="shared" si="5"/>
        <v>#N/A</v>
      </c>
    </row>
    <row r="13" spans="2:20" ht="18.75" customHeight="1" x14ac:dyDescent="0.2">
      <c r="B13" s="5">
        <v>5</v>
      </c>
      <c r="C13" s="27">
        <f t="shared" si="6"/>
        <v>41060</v>
      </c>
      <c r="D13" s="6">
        <f>SUMIFS(销售数据!C:C,销售数据!A:A,时间序列预测工具!C13)</f>
        <v>3202.1000000000008</v>
      </c>
      <c r="E13" s="7">
        <v>0.94570422172546387</v>
      </c>
      <c r="F13" s="8">
        <f t="shared" si="0"/>
        <v>3385.9423765262245</v>
      </c>
      <c r="G13" s="9">
        <f t="shared" si="3"/>
        <v>8.1273875443929917</v>
      </c>
      <c r="H13" s="10" t="e">
        <f t="shared" si="1"/>
        <v>#N/A</v>
      </c>
      <c r="I13" s="10" t="e">
        <f t="shared" si="2"/>
        <v>#N/A</v>
      </c>
      <c r="J13" s="5">
        <f t="shared" si="4"/>
        <v>2012</v>
      </c>
      <c r="K13" s="11" t="e">
        <f t="shared" si="5"/>
        <v>#N/A</v>
      </c>
    </row>
    <row r="14" spans="2:20" ht="18.75" customHeight="1" x14ac:dyDescent="0.2">
      <c r="B14" s="5">
        <v>6</v>
      </c>
      <c r="C14" s="27">
        <f t="shared" si="6"/>
        <v>41090</v>
      </c>
      <c r="D14" s="6">
        <f>SUMIFS(销售数据!C:C,销售数据!A:A,时间序列预测工具!C14)</f>
        <v>3158.8000000000006</v>
      </c>
      <c r="E14" s="7">
        <v>0.94588881731033325</v>
      </c>
      <c r="F14" s="8">
        <f t="shared" si="0"/>
        <v>3339.5045402716091</v>
      </c>
      <c r="G14" s="9">
        <f t="shared" si="3"/>
        <v>8.1135777337310522</v>
      </c>
      <c r="H14" s="10" t="e">
        <f t="shared" si="1"/>
        <v>#N/A</v>
      </c>
      <c r="I14" s="10" t="e">
        <f t="shared" si="2"/>
        <v>#N/A</v>
      </c>
      <c r="J14" s="5">
        <f t="shared" si="4"/>
        <v>2012</v>
      </c>
      <c r="K14" s="11" t="e">
        <f t="shared" si="5"/>
        <v>#N/A</v>
      </c>
    </row>
    <row r="15" spans="2:20" ht="18.75" customHeight="1" x14ac:dyDescent="0.2">
      <c r="B15" s="5">
        <v>7</v>
      </c>
      <c r="C15" s="27">
        <f t="shared" si="6"/>
        <v>41121</v>
      </c>
      <c r="D15" s="6">
        <f>SUMIFS(销售数据!C:C,销售数据!A:A,时间序列预测工具!C15)</f>
        <v>3096.6000000000004</v>
      </c>
      <c r="E15" s="7">
        <v>0.92543256282806396</v>
      </c>
      <c r="F15" s="8">
        <f t="shared" si="0"/>
        <v>3346.1109154588039</v>
      </c>
      <c r="G15" s="9">
        <f t="shared" si="3"/>
        <v>8.115554029670049</v>
      </c>
      <c r="H15" s="10" t="e">
        <f t="shared" si="1"/>
        <v>#N/A</v>
      </c>
      <c r="I15" s="10" t="e">
        <f t="shared" si="2"/>
        <v>#N/A</v>
      </c>
      <c r="J15" s="5">
        <f t="shared" si="4"/>
        <v>2012</v>
      </c>
      <c r="K15" s="11" t="e">
        <f t="shared" si="5"/>
        <v>#N/A</v>
      </c>
    </row>
    <row r="16" spans="2:20" ht="18.75" customHeight="1" x14ac:dyDescent="0.2">
      <c r="B16" s="5">
        <v>8</v>
      </c>
      <c r="C16" s="27">
        <f t="shared" si="6"/>
        <v>41152</v>
      </c>
      <c r="D16" s="6">
        <f>SUMIFS(销售数据!C:C,销售数据!A:A,时间序列预测工具!C16)</f>
        <v>3143.7000000000003</v>
      </c>
      <c r="E16" s="7">
        <v>0.9274594783782959</v>
      </c>
      <c r="F16" s="8">
        <f t="shared" si="0"/>
        <v>3389.5820499855145</v>
      </c>
      <c r="G16" s="9">
        <f t="shared" si="3"/>
        <v>8.1284619036839523</v>
      </c>
      <c r="H16" s="10" t="e">
        <f t="shared" si="1"/>
        <v>#N/A</v>
      </c>
      <c r="I16" s="10" t="e">
        <f t="shared" si="2"/>
        <v>#N/A</v>
      </c>
      <c r="J16" s="5">
        <f t="shared" si="4"/>
        <v>2012</v>
      </c>
      <c r="K16" s="11" t="e">
        <f t="shared" si="5"/>
        <v>#N/A</v>
      </c>
    </row>
    <row r="17" spans="2:13" ht="18.75" customHeight="1" x14ac:dyDescent="0.2">
      <c r="B17" s="5">
        <v>9</v>
      </c>
      <c r="C17" s="27">
        <f t="shared" si="6"/>
        <v>41182</v>
      </c>
      <c r="D17" s="6">
        <f>SUMIFS(销售数据!C:C,销售数据!A:A,时间序列预测工具!C17)</f>
        <v>3422.400000000001</v>
      </c>
      <c r="E17" s="7">
        <v>1.0038036108016968</v>
      </c>
      <c r="F17" s="8">
        <f t="shared" si="0"/>
        <v>3409.4318481945593</v>
      </c>
      <c r="G17" s="9">
        <f t="shared" si="3"/>
        <v>8.1343009429633213</v>
      </c>
      <c r="H17" s="10" t="e">
        <f t="shared" si="1"/>
        <v>#N/A</v>
      </c>
      <c r="I17" s="10" t="e">
        <f t="shared" si="2"/>
        <v>#N/A</v>
      </c>
      <c r="J17" s="5">
        <f t="shared" si="4"/>
        <v>2012</v>
      </c>
      <c r="K17" s="11" t="e">
        <f t="shared" si="5"/>
        <v>#N/A</v>
      </c>
    </row>
    <row r="18" spans="2:13" ht="18.75" customHeight="1" x14ac:dyDescent="0.2">
      <c r="B18" s="5">
        <v>10</v>
      </c>
      <c r="C18" s="27">
        <f t="shared" si="6"/>
        <v>41213</v>
      </c>
      <c r="D18" s="6">
        <f>SUMIFS(销售数据!C:C,销售数据!A:A,时间序列预测工具!C18)</f>
        <v>3661.9000000000005</v>
      </c>
      <c r="E18" s="7">
        <v>1.0508134365081787</v>
      </c>
      <c r="F18" s="8">
        <f t="shared" si="0"/>
        <v>3484.8241112793376</v>
      </c>
      <c r="G18" s="9">
        <f t="shared" si="3"/>
        <v>8.1561728516998233</v>
      </c>
      <c r="H18" s="10" t="e">
        <f t="shared" si="1"/>
        <v>#N/A</v>
      </c>
      <c r="I18" s="10" t="e">
        <f t="shared" si="2"/>
        <v>#N/A</v>
      </c>
      <c r="J18" s="5">
        <f t="shared" si="4"/>
        <v>2012</v>
      </c>
      <c r="K18" s="11" t="e">
        <f t="shared" si="5"/>
        <v>#N/A</v>
      </c>
    </row>
    <row r="19" spans="2:13" ht="18.75" customHeight="1" x14ac:dyDescent="0.2">
      <c r="B19" s="5">
        <v>11</v>
      </c>
      <c r="C19" s="27">
        <f t="shared" si="6"/>
        <v>41243</v>
      </c>
      <c r="D19" s="6">
        <f>SUMIFS(销售数据!C:C,销售数据!A:A,时间序列预测工具!C19)</f>
        <v>3733.1000000000004</v>
      </c>
      <c r="E19" s="7">
        <v>1.0424858331680298</v>
      </c>
      <c r="F19" s="8">
        <f t="shared" si="0"/>
        <v>3580.959933676425</v>
      </c>
      <c r="G19" s="9">
        <f t="shared" si="3"/>
        <v>8.183386181350647</v>
      </c>
      <c r="H19" s="10" t="e">
        <f t="shared" si="1"/>
        <v>#N/A</v>
      </c>
      <c r="I19" s="10" t="e">
        <f t="shared" si="2"/>
        <v>#N/A</v>
      </c>
      <c r="J19" s="5">
        <f t="shared" si="4"/>
        <v>2012</v>
      </c>
      <c r="K19" s="11" t="e">
        <f t="shared" si="5"/>
        <v>#N/A</v>
      </c>
    </row>
    <row r="20" spans="2:13" ht="18.75" customHeight="1" x14ac:dyDescent="0.2">
      <c r="B20" s="5">
        <v>12</v>
      </c>
      <c r="C20" s="27">
        <f t="shared" si="6"/>
        <v>41274</v>
      </c>
      <c r="D20" s="6">
        <f>SUMIFS(销售数据!C:C,销售数据!A:A,时间序列预测工具!C20)</f>
        <v>4404.4000000000005</v>
      </c>
      <c r="E20" s="7">
        <v>1.1778675317764282</v>
      </c>
      <c r="F20" s="8">
        <f t="shared" si="0"/>
        <v>3739.2999477262119</v>
      </c>
      <c r="G20" s="9">
        <f t="shared" si="3"/>
        <v>8.226653693135912</v>
      </c>
      <c r="H20" s="10" t="e">
        <f t="shared" si="1"/>
        <v>#N/A</v>
      </c>
      <c r="I20" s="10" t="e">
        <f t="shared" si="2"/>
        <v>#N/A</v>
      </c>
      <c r="J20" s="5" t="str">
        <f t="shared" si="4"/>
        <v/>
      </c>
      <c r="K20" s="11" t="e">
        <f t="shared" si="5"/>
        <v>#N/A</v>
      </c>
    </row>
    <row r="21" spans="2:13" ht="18.75" customHeight="1" x14ac:dyDescent="0.2">
      <c r="B21" s="5">
        <v>13</v>
      </c>
      <c r="C21" s="27">
        <f t="shared" si="6"/>
        <v>41305</v>
      </c>
      <c r="D21" s="6">
        <f>SUMIFS(销售数据!C:C,销售数据!A:A,时间序列预测工具!C21)</f>
        <v>3907.4000000000005</v>
      </c>
      <c r="E21" s="7">
        <v>1.0948446989059448</v>
      </c>
      <c r="F21" s="8">
        <f t="shared" si="0"/>
        <v>3568.9079957226654</v>
      </c>
      <c r="G21" s="9">
        <f t="shared" si="3"/>
        <v>8.1800149444306953</v>
      </c>
      <c r="H21" s="10" t="e">
        <f t="shared" si="1"/>
        <v>#N/A</v>
      </c>
      <c r="I21" s="10" t="e">
        <f t="shared" si="2"/>
        <v>#N/A</v>
      </c>
      <c r="J21" s="5" t="str">
        <f t="shared" si="4"/>
        <v/>
      </c>
      <c r="K21" s="11" t="e">
        <f t="shared" si="5"/>
        <v>#N/A</v>
      </c>
    </row>
    <row r="22" spans="2:13" ht="18.75" customHeight="1" x14ac:dyDescent="0.2">
      <c r="B22" s="5">
        <v>14</v>
      </c>
      <c r="C22" s="27">
        <f t="shared" si="6"/>
        <v>41333</v>
      </c>
      <c r="D22" s="6">
        <f>SUMIFS(销售数据!C:C,销售数据!A:A,时间序列预测工具!C22)</f>
        <v>3706.400000000001</v>
      </c>
      <c r="E22" s="7">
        <v>1.0110139846801758</v>
      </c>
      <c r="F22" s="8">
        <f t="shared" si="0"/>
        <v>3666.0224845183361</v>
      </c>
      <c r="G22" s="9">
        <f t="shared" si="3"/>
        <v>8.2068625616373438</v>
      </c>
      <c r="H22" s="10" t="e">
        <f t="shared" si="1"/>
        <v>#N/A</v>
      </c>
      <c r="I22" s="10" t="e">
        <f t="shared" si="2"/>
        <v>#N/A</v>
      </c>
      <c r="J22" s="5">
        <f t="shared" si="4"/>
        <v>2013</v>
      </c>
      <c r="K22" s="11" t="e">
        <f t="shared" si="5"/>
        <v>#N/A</v>
      </c>
    </row>
    <row r="23" spans="2:13" ht="18.75" customHeight="1" x14ac:dyDescent="0.2">
      <c r="B23" s="5">
        <v>15</v>
      </c>
      <c r="C23" s="27">
        <f t="shared" si="6"/>
        <v>41364</v>
      </c>
      <c r="D23" s="6">
        <f>SUMIFS(销售数据!C:C,销售数据!A:A,时间序列预测工具!C23)</f>
        <v>3494.8000000000006</v>
      </c>
      <c r="E23" s="7">
        <v>0.95099467039108276</v>
      </c>
      <c r="F23" s="8">
        <f t="shared" si="0"/>
        <v>3674.889154281816</v>
      </c>
      <c r="G23" s="9">
        <f t="shared" si="3"/>
        <v>8.2092782490918648</v>
      </c>
      <c r="H23" s="10" t="e">
        <f t="shared" si="1"/>
        <v>#N/A</v>
      </c>
      <c r="I23" s="10" t="e">
        <f t="shared" si="2"/>
        <v>#N/A</v>
      </c>
      <c r="J23" s="5">
        <f t="shared" si="4"/>
        <v>2013</v>
      </c>
      <c r="K23" s="11" t="e">
        <f t="shared" si="5"/>
        <v>#N/A</v>
      </c>
    </row>
    <row r="24" spans="2:13" ht="18.75" customHeight="1" x14ac:dyDescent="0.2">
      <c r="B24" s="5">
        <v>16</v>
      </c>
      <c r="C24" s="27">
        <f t="shared" si="6"/>
        <v>41394</v>
      </c>
      <c r="D24" s="6">
        <f>SUMIFS(销售数据!C:C,销售数据!A:A,时间序列预测工具!C24)</f>
        <v>3406.900000000001</v>
      </c>
      <c r="E24" s="7">
        <v>0.92198967933654785</v>
      </c>
      <c r="F24" s="8">
        <f t="shared" si="0"/>
        <v>3695.1606686655791</v>
      </c>
      <c r="G24" s="9">
        <f t="shared" si="3"/>
        <v>8.2147793151610635</v>
      </c>
      <c r="H24" s="10" t="e">
        <f t="shared" si="1"/>
        <v>#N/A</v>
      </c>
      <c r="I24" s="10" t="e">
        <f t="shared" si="2"/>
        <v>#N/A</v>
      </c>
      <c r="J24" s="5">
        <f t="shared" si="4"/>
        <v>2013</v>
      </c>
      <c r="K24" s="11" t="e">
        <f t="shared" si="5"/>
        <v>#N/A</v>
      </c>
    </row>
    <row r="25" spans="2:13" ht="18.75" customHeight="1" x14ac:dyDescent="0.2">
      <c r="B25" s="5">
        <v>17</v>
      </c>
      <c r="C25" s="27">
        <f t="shared" si="6"/>
        <v>41425</v>
      </c>
      <c r="D25" s="6">
        <f>SUMIFS(销售数据!C:C,销售数据!A:A,时间序列预测工具!C25)</f>
        <v>3463.3</v>
      </c>
      <c r="E25" s="7">
        <v>0.94816476106643677</v>
      </c>
      <c r="F25" s="8">
        <f t="shared" si="0"/>
        <v>3652.63521933118</v>
      </c>
      <c r="G25" s="9">
        <f t="shared" si="3"/>
        <v>8.2032041639748243</v>
      </c>
      <c r="H25" s="10" t="e">
        <f t="shared" si="1"/>
        <v>#N/A</v>
      </c>
      <c r="I25" s="10" t="e">
        <f t="shared" si="2"/>
        <v>#N/A</v>
      </c>
      <c r="J25" s="5">
        <f t="shared" si="4"/>
        <v>2013</v>
      </c>
      <c r="K25" s="11" t="e">
        <f t="shared" si="5"/>
        <v>#N/A</v>
      </c>
      <c r="M25" s="19" t="s">
        <v>17</v>
      </c>
    </row>
    <row r="26" spans="2:13" ht="18.75" customHeight="1" x14ac:dyDescent="0.2">
      <c r="B26" s="5">
        <v>18</v>
      </c>
      <c r="C26" s="27">
        <f t="shared" si="6"/>
        <v>41455</v>
      </c>
      <c r="D26" s="6">
        <f>SUMIFS(销售数据!C:C,销售数据!A:A,时间序列预测工具!C26)</f>
        <v>3576.9000000000005</v>
      </c>
      <c r="E26" s="7">
        <v>0.94603991508483887</v>
      </c>
      <c r="F26" s="8">
        <f t="shared" si="0"/>
        <v>3780.9186937733293</v>
      </c>
      <c r="G26" s="9">
        <f t="shared" si="3"/>
        <v>8.2377222997648065</v>
      </c>
      <c r="H26" s="10" t="e">
        <f t="shared" si="1"/>
        <v>#N/A</v>
      </c>
      <c r="I26" s="10" t="e">
        <f t="shared" si="2"/>
        <v>#N/A</v>
      </c>
      <c r="J26" s="5">
        <f t="shared" si="4"/>
        <v>2013</v>
      </c>
      <c r="K26" s="11" t="e">
        <f t="shared" si="5"/>
        <v>#N/A</v>
      </c>
      <c r="M26" s="20" t="s">
        <v>37</v>
      </c>
    </row>
    <row r="27" spans="2:13" ht="18.75" customHeight="1" x14ac:dyDescent="0.2">
      <c r="B27" s="5">
        <v>19</v>
      </c>
      <c r="C27" s="27">
        <f t="shared" si="6"/>
        <v>41486</v>
      </c>
      <c r="D27" s="6">
        <f>SUMIFS(销售数据!C:C,销售数据!A:A,时间序列预测工具!C27)</f>
        <v>3562.1000000000004</v>
      </c>
      <c r="E27" s="7">
        <v>0.92617172002792358</v>
      </c>
      <c r="F27" s="8">
        <f t="shared" si="0"/>
        <v>3846.0470374679599</v>
      </c>
      <c r="G27" s="9">
        <f t="shared" si="3"/>
        <v>8.2548011563048149</v>
      </c>
      <c r="H27" s="10" t="e">
        <f t="shared" si="1"/>
        <v>#N/A</v>
      </c>
      <c r="I27" s="10" t="e">
        <f t="shared" si="2"/>
        <v>#N/A</v>
      </c>
      <c r="J27" s="5">
        <f t="shared" si="4"/>
        <v>2013</v>
      </c>
      <c r="K27" s="11" t="e">
        <f t="shared" si="5"/>
        <v>#N/A</v>
      </c>
      <c r="M27" s="20" t="s">
        <v>24</v>
      </c>
    </row>
    <row r="28" spans="2:13" ht="18.75" customHeight="1" x14ac:dyDescent="0.2">
      <c r="B28" s="5">
        <v>20</v>
      </c>
      <c r="C28" s="27">
        <f t="shared" si="6"/>
        <v>41517</v>
      </c>
      <c r="D28" s="6">
        <f>SUMIFS(销售数据!C:C,销售数据!A:A,时间序列预测工具!C28)</f>
        <v>3609.6000000000008</v>
      </c>
      <c r="E28" s="7">
        <v>0.9282839298248291</v>
      </c>
      <c r="F28" s="8">
        <f t="shared" si="0"/>
        <v>3888.4654619423895</v>
      </c>
      <c r="G28" s="9">
        <f t="shared" si="3"/>
        <v>8.2657698759925271</v>
      </c>
      <c r="H28" s="10" t="e">
        <f t="shared" si="1"/>
        <v>#N/A</v>
      </c>
      <c r="I28" s="10" t="e">
        <f t="shared" si="2"/>
        <v>#N/A</v>
      </c>
      <c r="J28" s="5">
        <f t="shared" si="4"/>
        <v>2013</v>
      </c>
      <c r="K28" s="11" t="e">
        <f t="shared" si="5"/>
        <v>#N/A</v>
      </c>
      <c r="M28" s="20" t="s">
        <v>25</v>
      </c>
    </row>
    <row r="29" spans="2:13" ht="18.75" customHeight="1" x14ac:dyDescent="0.2">
      <c r="B29" s="5">
        <v>21</v>
      </c>
      <c r="C29" s="27">
        <f t="shared" si="6"/>
        <v>41547</v>
      </c>
      <c r="D29" s="6">
        <f>SUMIFS(销售数据!C:C,销售数据!A:A,时间序列预测工具!C29)</f>
        <v>3971.8000000000006</v>
      </c>
      <c r="E29" s="7">
        <v>1.0034148693084717</v>
      </c>
      <c r="F29" s="8">
        <f t="shared" si="0"/>
        <v>3958.2829809341629</v>
      </c>
      <c r="G29" s="9">
        <f t="shared" si="3"/>
        <v>8.2835656195477192</v>
      </c>
      <c r="H29" s="10" t="e">
        <f t="shared" si="1"/>
        <v>#N/A</v>
      </c>
      <c r="I29" s="10" t="e">
        <f t="shared" si="2"/>
        <v>#N/A</v>
      </c>
      <c r="J29" s="5">
        <f t="shared" si="4"/>
        <v>2013</v>
      </c>
      <c r="K29" s="11" t="e">
        <f t="shared" si="5"/>
        <v>#N/A</v>
      </c>
      <c r="M29" s="20"/>
    </row>
    <row r="30" spans="2:13" ht="18.75" customHeight="1" x14ac:dyDescent="0.2">
      <c r="B30" s="5">
        <v>22</v>
      </c>
      <c r="C30" s="27">
        <f t="shared" si="6"/>
        <v>41578</v>
      </c>
      <c r="D30" s="6">
        <f>SUMIFS(销售数据!C:C,销售数据!A:A,时间序列预测工具!C30)</f>
        <v>4204.3999999999996</v>
      </c>
      <c r="E30" s="7">
        <v>1.0511223077774048</v>
      </c>
      <c r="F30" s="8">
        <f t="shared" si="0"/>
        <v>3999.9151087281098</v>
      </c>
      <c r="G30" s="9">
        <f t="shared" si="3"/>
        <v>8.2940284170588487</v>
      </c>
      <c r="H30" s="10" t="e">
        <f t="shared" si="1"/>
        <v>#N/A</v>
      </c>
      <c r="I30" s="10" t="e">
        <f t="shared" si="2"/>
        <v>#N/A</v>
      </c>
      <c r="J30" s="5">
        <f t="shared" si="4"/>
        <v>2013</v>
      </c>
      <c r="K30" s="11" t="e">
        <f t="shared" si="5"/>
        <v>#N/A</v>
      </c>
      <c r="M30" s="19" t="s">
        <v>18</v>
      </c>
    </row>
    <row r="31" spans="2:13" ht="18.75" customHeight="1" x14ac:dyDescent="0.2">
      <c r="B31" s="5">
        <v>23</v>
      </c>
      <c r="C31" s="27">
        <f t="shared" si="6"/>
        <v>41608</v>
      </c>
      <c r="D31" s="6">
        <f>SUMIFS(销售数据!C:C,销售数据!A:A,时间序列预测工具!C31)</f>
        <v>4202.7000000000007</v>
      </c>
      <c r="E31" s="7">
        <v>1.0408557653427124</v>
      </c>
      <c r="F31" s="8">
        <f t="shared" si="0"/>
        <v>4037.7352366552141</v>
      </c>
      <c r="G31" s="9">
        <f t="shared" si="3"/>
        <v>8.3034392287823522</v>
      </c>
      <c r="H31" s="10" t="e">
        <f t="shared" si="1"/>
        <v>#N/A</v>
      </c>
      <c r="I31" s="10" t="e">
        <f t="shared" si="2"/>
        <v>#N/A</v>
      </c>
      <c r="J31" s="5">
        <f t="shared" si="4"/>
        <v>2013</v>
      </c>
      <c r="K31" s="11" t="e">
        <f t="shared" si="5"/>
        <v>#N/A</v>
      </c>
      <c r="M31" s="20" t="s">
        <v>26</v>
      </c>
    </row>
    <row r="32" spans="2:13" ht="18.75" customHeight="1" x14ac:dyDescent="0.2">
      <c r="B32" s="5">
        <v>24</v>
      </c>
      <c r="C32" s="27">
        <f t="shared" si="6"/>
        <v>41639</v>
      </c>
      <c r="D32" s="6">
        <f>SUMIFS(销售数据!C:C,销售数据!A:A,时间序列预测工具!C32)</f>
        <v>4735.7</v>
      </c>
      <c r="E32" s="7">
        <v>1.1733759641647339</v>
      </c>
      <c r="F32" s="8">
        <f t="shared" si="0"/>
        <v>4035.9613155797865</v>
      </c>
      <c r="G32" s="9">
        <f t="shared" si="3"/>
        <v>8.302999796586084</v>
      </c>
      <c r="H32" s="10" t="e">
        <f t="shared" si="1"/>
        <v>#N/A</v>
      </c>
      <c r="I32" s="10" t="e">
        <f t="shared" si="2"/>
        <v>#N/A</v>
      </c>
      <c r="J32" s="5" t="str">
        <f t="shared" si="4"/>
        <v/>
      </c>
      <c r="K32" s="11" t="e">
        <f t="shared" si="5"/>
        <v>#N/A</v>
      </c>
      <c r="M32" s="20" t="s">
        <v>27</v>
      </c>
    </row>
    <row r="33" spans="2:13" ht="18.75" customHeight="1" x14ac:dyDescent="0.2">
      <c r="B33" s="5">
        <v>25</v>
      </c>
      <c r="C33" s="27">
        <f t="shared" si="6"/>
        <v>41670</v>
      </c>
      <c r="D33" s="6">
        <f>SUMIFS(销售数据!C:C,销售数据!A:A,时间序列预测工具!C33)</f>
        <v>4569.3999999999996</v>
      </c>
      <c r="E33" s="7">
        <v>1.095839262008667</v>
      </c>
      <c r="F33" s="8">
        <f t="shared" si="0"/>
        <v>4169.7721175132165</v>
      </c>
      <c r="G33" s="9">
        <f t="shared" si="3"/>
        <v>8.335616665221222</v>
      </c>
      <c r="H33" s="10" t="e">
        <f t="shared" si="1"/>
        <v>#N/A</v>
      </c>
      <c r="I33" s="10" t="e">
        <f t="shared" si="2"/>
        <v>#N/A</v>
      </c>
      <c r="J33" s="5" t="str">
        <f t="shared" si="4"/>
        <v/>
      </c>
      <c r="K33" s="11" t="e">
        <f t="shared" si="5"/>
        <v>#N/A</v>
      </c>
    </row>
    <row r="34" spans="2:13" ht="18.75" customHeight="1" x14ac:dyDescent="0.2">
      <c r="B34" s="5">
        <v>26</v>
      </c>
      <c r="C34" s="27">
        <f t="shared" si="6"/>
        <v>41698</v>
      </c>
      <c r="D34" s="6">
        <f>SUMIFS(销售数据!C:C,销售数据!A:A,时间序列预测工具!C34)</f>
        <v>4211.4000000000005</v>
      </c>
      <c r="E34" s="7">
        <v>1.0101816654205322</v>
      </c>
      <c r="F34" s="8">
        <f t="shared" si="0"/>
        <v>4168.9531142369542</v>
      </c>
      <c r="G34" s="9">
        <f t="shared" si="3"/>
        <v>8.3354202315323462</v>
      </c>
      <c r="H34" s="10" t="e">
        <f t="shared" si="1"/>
        <v>#N/A</v>
      </c>
      <c r="I34" s="10" t="e">
        <f t="shared" si="2"/>
        <v>#N/A</v>
      </c>
      <c r="J34" s="5">
        <f t="shared" si="4"/>
        <v>2014</v>
      </c>
      <c r="K34" s="11" t="e">
        <f t="shared" si="5"/>
        <v>#N/A</v>
      </c>
      <c r="M34" s="19" t="s">
        <v>19</v>
      </c>
    </row>
    <row r="35" spans="2:13" ht="18.75" customHeight="1" x14ac:dyDescent="0.2">
      <c r="B35" s="5">
        <v>27</v>
      </c>
      <c r="C35" s="27">
        <f t="shared" si="6"/>
        <v>41729</v>
      </c>
      <c r="D35" s="6">
        <f>SUMIFS(销售数据!C:C,销售数据!A:A,时间序列预测工具!C35)</f>
        <v>4049.8000000000011</v>
      </c>
      <c r="E35" s="7">
        <v>0.95122259855270386</v>
      </c>
      <c r="F35" s="8">
        <f t="shared" si="0"/>
        <v>4257.4682373629666</v>
      </c>
      <c r="G35" s="9">
        <f t="shared" si="3"/>
        <v>8.3564299521127641</v>
      </c>
      <c r="H35" s="10" t="e">
        <f t="shared" si="1"/>
        <v>#N/A</v>
      </c>
      <c r="I35" s="10" t="e">
        <f t="shared" si="2"/>
        <v>#N/A</v>
      </c>
      <c r="J35" s="5">
        <f t="shared" si="4"/>
        <v>2014</v>
      </c>
      <c r="K35" s="11" t="e">
        <f t="shared" si="5"/>
        <v>#N/A</v>
      </c>
      <c r="M35" s="20" t="s">
        <v>15</v>
      </c>
    </row>
    <row r="36" spans="2:13" ht="18.75" customHeight="1" x14ac:dyDescent="0.2">
      <c r="B36" s="5">
        <v>28</v>
      </c>
      <c r="C36" s="27">
        <f t="shared" si="6"/>
        <v>41759</v>
      </c>
      <c r="D36" s="6">
        <f>SUMIFS(销售数据!C:C,销售数据!A:A,时间序列预测工具!C36)</f>
        <v>4001.8000000000006</v>
      </c>
      <c r="E36" s="7">
        <v>0.92274701595306396</v>
      </c>
      <c r="F36" s="8">
        <f t="shared" si="0"/>
        <v>4336.8333148893698</v>
      </c>
      <c r="G36" s="9">
        <f t="shared" si="3"/>
        <v>8.3748997098224915</v>
      </c>
      <c r="H36" s="10" t="e">
        <f t="shared" si="1"/>
        <v>#N/A</v>
      </c>
      <c r="I36" s="10" t="e">
        <f t="shared" si="2"/>
        <v>#N/A</v>
      </c>
      <c r="J36" s="5">
        <f t="shared" si="4"/>
        <v>2014</v>
      </c>
      <c r="K36" s="11" t="e">
        <f t="shared" si="5"/>
        <v>#N/A</v>
      </c>
      <c r="M36" s="20" t="s">
        <v>16</v>
      </c>
    </row>
    <row r="37" spans="2:13" ht="18.75" customHeight="1" x14ac:dyDescent="0.2">
      <c r="B37" s="5">
        <v>29</v>
      </c>
      <c r="C37" s="27">
        <f t="shared" si="6"/>
        <v>41790</v>
      </c>
      <c r="D37" s="6">
        <f>SUMIFS(销售数据!C:C,销售数据!A:A,时间序列预测工具!C37)</f>
        <v>4166.1000000000004</v>
      </c>
      <c r="E37" s="7">
        <v>0.95185905694961548</v>
      </c>
      <c r="F37" s="8">
        <f t="shared" si="0"/>
        <v>4376.8034454081198</v>
      </c>
      <c r="G37" s="9">
        <f t="shared" si="3"/>
        <v>8.3840739299472862</v>
      </c>
      <c r="H37" s="10" t="e">
        <f t="shared" si="1"/>
        <v>#N/A</v>
      </c>
      <c r="I37" s="10" t="e">
        <f t="shared" si="2"/>
        <v>#N/A</v>
      </c>
      <c r="J37" s="5">
        <f t="shared" si="4"/>
        <v>2014</v>
      </c>
      <c r="K37" s="11" t="e">
        <f t="shared" si="5"/>
        <v>#N/A</v>
      </c>
      <c r="M37" s="20" t="s">
        <v>94</v>
      </c>
    </row>
    <row r="38" spans="2:13" ht="18.75" customHeight="1" x14ac:dyDescent="0.2">
      <c r="B38" s="5">
        <v>30</v>
      </c>
      <c r="C38" s="27">
        <f t="shared" si="6"/>
        <v>41820</v>
      </c>
      <c r="D38" s="6">
        <f>SUMIFS(销售数据!C:C,销售数据!A:A,时间序列预测工具!C38)</f>
        <v>4250.7</v>
      </c>
      <c r="E38" s="7">
        <v>0.94658821821212769</v>
      </c>
      <c r="F38" s="8">
        <f t="shared" si="0"/>
        <v>4490.5481794697662</v>
      </c>
      <c r="G38" s="9">
        <f t="shared" si="3"/>
        <v>8.4097300622528159</v>
      </c>
      <c r="H38" s="10" t="e">
        <f t="shared" si="1"/>
        <v>#N/A</v>
      </c>
      <c r="I38" s="10" t="e">
        <f t="shared" si="2"/>
        <v>#N/A</v>
      </c>
      <c r="J38" s="5">
        <f t="shared" si="4"/>
        <v>2014</v>
      </c>
      <c r="K38" s="11" t="e">
        <f t="shared" si="5"/>
        <v>#N/A</v>
      </c>
    </row>
    <row r="39" spans="2:13" ht="18.75" customHeight="1" x14ac:dyDescent="0.2">
      <c r="B39" s="5">
        <v>31</v>
      </c>
      <c r="C39" s="27">
        <f t="shared" si="6"/>
        <v>41851</v>
      </c>
      <c r="D39" s="6">
        <f>SUMIFS(销售数据!C:C,销售数据!A:A,时间序列预测工具!C39)</f>
        <v>4209.2000000000016</v>
      </c>
      <c r="E39" s="7">
        <v>0.92780649662017822</v>
      </c>
      <c r="F39" s="8">
        <f t="shared" si="0"/>
        <v>4536.7218437608626</v>
      </c>
      <c r="G39" s="9">
        <f t="shared" si="3"/>
        <v>8.4199599693782812</v>
      </c>
      <c r="H39" s="10" t="e">
        <f t="shared" si="1"/>
        <v>#N/A</v>
      </c>
      <c r="I39" s="10" t="e">
        <f t="shared" si="2"/>
        <v>#N/A</v>
      </c>
      <c r="J39" s="5">
        <f t="shared" si="4"/>
        <v>2014</v>
      </c>
      <c r="K39" s="11" t="e">
        <f t="shared" si="5"/>
        <v>#N/A</v>
      </c>
    </row>
    <row r="40" spans="2:13" ht="18.75" customHeight="1" x14ac:dyDescent="0.2">
      <c r="B40" s="5">
        <v>32</v>
      </c>
      <c r="C40" s="27">
        <f t="shared" si="6"/>
        <v>41882</v>
      </c>
      <c r="D40" s="6">
        <f>SUMIFS(销售数据!C:C,销售数据!A:A,时间序列预测工具!C40)</f>
        <v>4262.7000000000007</v>
      </c>
      <c r="E40" s="7">
        <v>0.92968457937240601</v>
      </c>
      <c r="F40" s="8">
        <f t="shared" si="0"/>
        <v>4585.1034798034234</v>
      </c>
      <c r="G40" s="9">
        <f t="shared" si="3"/>
        <v>8.4305679536405567</v>
      </c>
      <c r="H40" s="10" t="e">
        <f t="shared" si="1"/>
        <v>#N/A</v>
      </c>
      <c r="I40" s="10" t="e">
        <f t="shared" si="2"/>
        <v>#N/A</v>
      </c>
      <c r="J40" s="5">
        <f t="shared" si="4"/>
        <v>2014</v>
      </c>
      <c r="K40" s="11" t="e">
        <f t="shared" si="5"/>
        <v>#N/A</v>
      </c>
    </row>
    <row r="41" spans="2:13" ht="18.75" customHeight="1" x14ac:dyDescent="0.2">
      <c r="B41" s="5">
        <v>33</v>
      </c>
      <c r="C41" s="27">
        <f t="shared" si="6"/>
        <v>41912</v>
      </c>
      <c r="D41" s="6">
        <f>SUMIFS(销售数据!C:C,销售数据!A:A,时间序列预测工具!C41)</f>
        <v>4717.7</v>
      </c>
      <c r="E41" s="7">
        <v>1.0031396150588989</v>
      </c>
      <c r="F41" s="8">
        <f t="shared" ref="F41:F72" si="7">IF(D41&gt;0,D41/E41,NA())</f>
        <v>4702.9345957222531</v>
      </c>
      <c r="G41" s="9">
        <f t="shared" si="3"/>
        <v>8.4559419749213323</v>
      </c>
      <c r="H41" s="10" t="e">
        <f t="shared" ref="H41:H72" si="8">IF(D41="",$S$5+$R$5*B41,NA())*E41</f>
        <v>#N/A</v>
      </c>
      <c r="I41" s="10" t="e">
        <f t="shared" ref="I41:I72" si="9">IF(D41="",$S$6*EXP(($R$6-1)*B41),NA())*E41</f>
        <v>#N/A</v>
      </c>
      <c r="J41" s="5">
        <f t="shared" si="4"/>
        <v>2014</v>
      </c>
      <c r="K41" s="11" t="e">
        <f t="shared" si="5"/>
        <v>#N/A</v>
      </c>
    </row>
    <row r="42" spans="2:13" ht="18.75" customHeight="1" x14ac:dyDescent="0.2">
      <c r="B42" s="5">
        <v>34</v>
      </c>
      <c r="C42" s="27">
        <f t="shared" si="6"/>
        <v>41943</v>
      </c>
      <c r="D42" s="6">
        <f>SUMIFS(销售数据!C:C,销售数据!A:A,时间序列预测工具!C42)</f>
        <v>4983.2000000000007</v>
      </c>
      <c r="E42" s="7">
        <v>1.0525293350219727</v>
      </c>
      <c r="F42" s="8">
        <f t="shared" si="7"/>
        <v>4734.4998701589357</v>
      </c>
      <c r="G42" s="9">
        <f t="shared" si="3"/>
        <v>8.4626313759991039</v>
      </c>
      <c r="H42" s="10" t="e">
        <f t="shared" si="8"/>
        <v>#N/A</v>
      </c>
      <c r="I42" s="10" t="e">
        <f t="shared" si="9"/>
        <v>#N/A</v>
      </c>
      <c r="J42" s="5">
        <f t="shared" si="4"/>
        <v>2014</v>
      </c>
      <c r="K42" s="11" t="e">
        <f t="shared" si="5"/>
        <v>#N/A</v>
      </c>
    </row>
    <row r="43" spans="2:13" ht="18.75" customHeight="1" x14ac:dyDescent="0.2">
      <c r="B43" s="5">
        <v>35</v>
      </c>
      <c r="C43" s="27">
        <f t="shared" si="6"/>
        <v>41973</v>
      </c>
      <c r="D43" s="6">
        <f>SUMIFS(销售数据!C:C,销售数据!A:A,时间序列预测工具!C43)</f>
        <v>4965.6000000000013</v>
      </c>
      <c r="E43" s="7">
        <v>1.0380264520645142</v>
      </c>
      <c r="F43" s="8">
        <f t="shared" si="7"/>
        <v>4783.6931227754349</v>
      </c>
      <c r="G43" s="9">
        <f t="shared" si="3"/>
        <v>8.4729681469959459</v>
      </c>
      <c r="H43" s="10" t="e">
        <f t="shared" si="8"/>
        <v>#N/A</v>
      </c>
      <c r="I43" s="10" t="e">
        <f t="shared" si="9"/>
        <v>#N/A</v>
      </c>
      <c r="J43" s="5">
        <f t="shared" si="4"/>
        <v>2014</v>
      </c>
      <c r="K43" s="11" t="e">
        <f t="shared" si="5"/>
        <v>#N/A</v>
      </c>
    </row>
    <row r="44" spans="2:13" ht="18.75" customHeight="1" x14ac:dyDescent="0.2">
      <c r="B44" s="5">
        <v>36</v>
      </c>
      <c r="C44" s="27">
        <f t="shared" si="6"/>
        <v>42004</v>
      </c>
      <c r="D44" s="6">
        <f>SUMIFS(销售数据!C:C,销售数据!A:A,时间序列预测工具!C44)</f>
        <v>5562.5000000000009</v>
      </c>
      <c r="E44" s="7">
        <v>1.164915919303894</v>
      </c>
      <c r="F44" s="8">
        <f t="shared" si="7"/>
        <v>4775.0227358245074</v>
      </c>
      <c r="G44" s="9">
        <f t="shared" si="3"/>
        <v>8.4711540143327113</v>
      </c>
      <c r="H44" s="10" t="e">
        <f t="shared" si="8"/>
        <v>#N/A</v>
      </c>
      <c r="I44" s="10" t="e">
        <f t="shared" si="9"/>
        <v>#N/A</v>
      </c>
      <c r="J44" s="5" t="str">
        <f t="shared" si="4"/>
        <v/>
      </c>
      <c r="K44" s="11" t="e">
        <f t="shared" si="5"/>
        <v>#N/A</v>
      </c>
    </row>
    <row r="45" spans="2:13" ht="18.75" customHeight="1" x14ac:dyDescent="0.2">
      <c r="B45" s="5">
        <v>37</v>
      </c>
      <c r="C45" s="27">
        <f t="shared" si="6"/>
        <v>42035</v>
      </c>
      <c r="D45" s="6">
        <f>SUMIFS(销售数据!C:C,销售数据!A:A,时间序列预测工具!C45)</f>
        <v>5300.9</v>
      </c>
      <c r="E45" s="7">
        <v>1.0988508462905884</v>
      </c>
      <c r="F45" s="8">
        <f t="shared" si="7"/>
        <v>4824.0396027307515</v>
      </c>
      <c r="G45" s="9">
        <f t="shared" si="3"/>
        <v>8.4813669478946228</v>
      </c>
      <c r="H45" s="10" t="e">
        <f t="shared" si="8"/>
        <v>#N/A</v>
      </c>
      <c r="I45" s="10" t="e">
        <f t="shared" si="9"/>
        <v>#N/A</v>
      </c>
      <c r="J45" s="5" t="str">
        <f t="shared" si="4"/>
        <v/>
      </c>
      <c r="K45" s="11" t="e">
        <f t="shared" si="5"/>
        <v>#N/A</v>
      </c>
    </row>
    <row r="46" spans="2:13" ht="18.75" customHeight="1" x14ac:dyDescent="0.2">
      <c r="B46" s="5">
        <v>38</v>
      </c>
      <c r="C46" s="27">
        <f t="shared" si="6"/>
        <v>42063</v>
      </c>
      <c r="D46" s="6">
        <f>SUMIFS(销售数据!C:C,销售数据!A:A,时间序列预测工具!C46)</f>
        <v>5012.2000000000007</v>
      </c>
      <c r="E46" s="7">
        <v>1.0085786581039429</v>
      </c>
      <c r="F46" s="8">
        <f t="shared" si="7"/>
        <v>4969.5677771157534</v>
      </c>
      <c r="G46" s="9">
        <f t="shared" si="3"/>
        <v>8.51108814893378</v>
      </c>
      <c r="H46" s="10" t="e">
        <f t="shared" si="8"/>
        <v>#N/A</v>
      </c>
      <c r="I46" s="10" t="e">
        <f t="shared" si="9"/>
        <v>#N/A</v>
      </c>
      <c r="J46" s="5">
        <f t="shared" si="4"/>
        <v>2015</v>
      </c>
      <c r="K46" s="11" t="e">
        <f t="shared" si="5"/>
        <v>#N/A</v>
      </c>
    </row>
    <row r="47" spans="2:13" ht="18.75" customHeight="1" x14ac:dyDescent="0.2">
      <c r="B47" s="5">
        <v>39</v>
      </c>
      <c r="C47" s="27">
        <f t="shared" si="6"/>
        <v>42094</v>
      </c>
      <c r="D47" s="6">
        <f>SUMIFS(销售数据!C:C,销售数据!A:A,时间序列预测工具!C47)</f>
        <v>4799.1000000000013</v>
      </c>
      <c r="E47" s="7">
        <v>0.95074349641799927</v>
      </c>
      <c r="F47" s="8">
        <f t="shared" si="7"/>
        <v>5047.7337137524337</v>
      </c>
      <c r="G47" s="9">
        <f t="shared" si="3"/>
        <v>8.5266946519882385</v>
      </c>
      <c r="H47" s="10" t="e">
        <f t="shared" si="8"/>
        <v>#N/A</v>
      </c>
      <c r="I47" s="10" t="e">
        <f t="shared" si="9"/>
        <v>#N/A</v>
      </c>
      <c r="J47" s="5">
        <f t="shared" si="4"/>
        <v>2015</v>
      </c>
      <c r="K47" s="11" t="e">
        <f t="shared" si="5"/>
        <v>#N/A</v>
      </c>
    </row>
    <row r="48" spans="2:13" ht="18.75" customHeight="1" x14ac:dyDescent="0.2">
      <c r="B48" s="5">
        <v>40</v>
      </c>
      <c r="C48" s="27">
        <f t="shared" si="6"/>
        <v>42124</v>
      </c>
      <c r="D48" s="6">
        <f>SUMIFS(销售数据!C:C,销售数据!A:A,时间序列预测工具!C48)</f>
        <v>4663.3</v>
      </c>
      <c r="E48" s="7">
        <v>0.92368155717849731</v>
      </c>
      <c r="F48" s="8">
        <f t="shared" si="7"/>
        <v>5048.6013970492631</v>
      </c>
      <c r="G48" s="9">
        <f t="shared" si="3"/>
        <v>8.5268665328320186</v>
      </c>
      <c r="H48" s="10" t="e">
        <f t="shared" si="8"/>
        <v>#N/A</v>
      </c>
      <c r="I48" s="10" t="e">
        <f t="shared" si="9"/>
        <v>#N/A</v>
      </c>
      <c r="J48" s="5">
        <f t="shared" si="4"/>
        <v>2015</v>
      </c>
      <c r="K48" s="11" t="e">
        <f t="shared" si="5"/>
        <v>#N/A</v>
      </c>
    </row>
    <row r="49" spans="2:11" ht="18.75" customHeight="1" x14ac:dyDescent="0.2">
      <c r="B49" s="5">
        <v>41</v>
      </c>
      <c r="C49" s="27">
        <f t="shared" si="6"/>
        <v>42155</v>
      </c>
      <c r="D49" s="6">
        <f>SUMIFS(销售数据!C:C,销售数据!A:A,时间序列预测工具!C49)</f>
        <v>4899.2</v>
      </c>
      <c r="E49" s="7">
        <v>0.9573400616645813</v>
      </c>
      <c r="F49" s="8">
        <f t="shared" si="7"/>
        <v>5117.51277960883</v>
      </c>
      <c r="G49" s="9">
        <f t="shared" si="3"/>
        <v>8.5404238147690297</v>
      </c>
      <c r="H49" s="10" t="e">
        <f t="shared" si="8"/>
        <v>#N/A</v>
      </c>
      <c r="I49" s="10" t="e">
        <f t="shared" si="9"/>
        <v>#N/A</v>
      </c>
      <c r="J49" s="5">
        <f t="shared" si="4"/>
        <v>2015</v>
      </c>
      <c r="K49" s="11" t="e">
        <f t="shared" si="5"/>
        <v>#N/A</v>
      </c>
    </row>
    <row r="50" spans="2:11" ht="18.75" customHeight="1" x14ac:dyDescent="0.2">
      <c r="B50" s="5">
        <v>42</v>
      </c>
      <c r="C50" s="27">
        <f t="shared" si="6"/>
        <v>42185</v>
      </c>
      <c r="D50" s="6">
        <f>SUMIFS(销售数据!C:C,销售数据!A:A,时间序列预测工具!C50)</f>
        <v>4935.0000000000009</v>
      </c>
      <c r="E50" s="7">
        <v>0.94685423374176025</v>
      </c>
      <c r="F50" s="8">
        <f t="shared" si="7"/>
        <v>5211.9954942778922</v>
      </c>
      <c r="G50" s="9">
        <f t="shared" si="3"/>
        <v>8.5587180737543189</v>
      </c>
      <c r="H50" s="10" t="e">
        <f t="shared" si="8"/>
        <v>#N/A</v>
      </c>
      <c r="I50" s="10" t="e">
        <f t="shared" si="9"/>
        <v>#N/A</v>
      </c>
      <c r="J50" s="5">
        <f t="shared" si="4"/>
        <v>2015</v>
      </c>
      <c r="K50" s="11" t="e">
        <f t="shared" si="5"/>
        <v>#N/A</v>
      </c>
    </row>
    <row r="51" spans="2:11" ht="18.75" customHeight="1" x14ac:dyDescent="0.2">
      <c r="B51" s="5">
        <v>43</v>
      </c>
      <c r="C51" s="27">
        <f t="shared" si="6"/>
        <v>42216</v>
      </c>
      <c r="D51" s="6">
        <f>SUMIFS(销售数据!C:C,销售数据!A:A,时间序列预测工具!C51)</f>
        <v>4934.9000000000005</v>
      </c>
      <c r="E51" s="7">
        <v>0.9291003942489624</v>
      </c>
      <c r="F51" s="8">
        <f t="shared" si="7"/>
        <v>5311.4819782087416</v>
      </c>
      <c r="G51" s="9">
        <f t="shared" si="3"/>
        <v>8.5776261672384564</v>
      </c>
      <c r="H51" s="10" t="e">
        <f t="shared" si="8"/>
        <v>#N/A</v>
      </c>
      <c r="I51" s="10" t="e">
        <f t="shared" si="9"/>
        <v>#N/A</v>
      </c>
      <c r="J51" s="5">
        <f t="shared" si="4"/>
        <v>2015</v>
      </c>
      <c r="K51" s="11" t="e">
        <f t="shared" si="5"/>
        <v>#N/A</v>
      </c>
    </row>
    <row r="52" spans="2:11" ht="18.75" customHeight="1" x14ac:dyDescent="0.2">
      <c r="B52" s="5">
        <v>44</v>
      </c>
      <c r="C52" s="27">
        <f t="shared" si="6"/>
        <v>42247</v>
      </c>
      <c r="D52" s="6">
        <f>SUMIFS(销售数据!C:C,销售数据!A:A,时间序列预测工具!C52)</f>
        <v>5040.8000000000011</v>
      </c>
      <c r="E52" s="7">
        <v>0.93103224039077759</v>
      </c>
      <c r="F52" s="8">
        <f t="shared" si="7"/>
        <v>5414.2056325399117</v>
      </c>
      <c r="G52" s="9">
        <f t="shared" si="3"/>
        <v>8.5967814510820553</v>
      </c>
      <c r="H52" s="10" t="e">
        <f t="shared" si="8"/>
        <v>#N/A</v>
      </c>
      <c r="I52" s="10" t="e">
        <f t="shared" si="9"/>
        <v>#N/A</v>
      </c>
      <c r="J52" s="5">
        <f t="shared" si="4"/>
        <v>2015</v>
      </c>
      <c r="K52" s="11" t="e">
        <f t="shared" si="5"/>
        <v>#N/A</v>
      </c>
    </row>
    <row r="53" spans="2:11" ht="18.75" customHeight="1" x14ac:dyDescent="0.2">
      <c r="B53" s="5">
        <v>45</v>
      </c>
      <c r="C53" s="27">
        <f t="shared" si="6"/>
        <v>42277</v>
      </c>
      <c r="D53" s="6">
        <f>SUMIFS(销售数据!C:C,销售数据!A:A,时间序列预测工具!C53)</f>
        <v>5495.2</v>
      </c>
      <c r="E53" s="7">
        <v>1.0024713277816772</v>
      </c>
      <c r="F53" s="8">
        <f t="shared" si="7"/>
        <v>5481.6530385563001</v>
      </c>
      <c r="G53" s="9">
        <f t="shared" si="3"/>
        <v>8.609161983826624</v>
      </c>
      <c r="H53" s="10" t="e">
        <f t="shared" si="8"/>
        <v>#N/A</v>
      </c>
      <c r="I53" s="10" t="e">
        <f t="shared" si="9"/>
        <v>#N/A</v>
      </c>
      <c r="J53" s="5">
        <f t="shared" si="4"/>
        <v>2015</v>
      </c>
      <c r="K53" s="11" t="e">
        <f t="shared" si="5"/>
        <v>#N/A</v>
      </c>
    </row>
    <row r="54" spans="2:11" ht="18.75" customHeight="1" x14ac:dyDescent="0.2">
      <c r="B54" s="5">
        <v>46</v>
      </c>
      <c r="C54" s="27">
        <f t="shared" si="6"/>
        <v>42308</v>
      </c>
      <c r="D54" s="6">
        <f>SUMIFS(销售数据!C:C,销售数据!A:A,时间序列预测工具!C54)</f>
        <v>5846.6</v>
      </c>
      <c r="E54" s="7">
        <v>1.0541197061538696</v>
      </c>
      <c r="F54" s="8">
        <f t="shared" si="7"/>
        <v>5546.4288978452823</v>
      </c>
      <c r="G54" s="9">
        <f t="shared" si="3"/>
        <v>8.6209095578132651</v>
      </c>
      <c r="H54" s="10" t="e">
        <f t="shared" si="8"/>
        <v>#N/A</v>
      </c>
      <c r="I54" s="10" t="e">
        <f t="shared" si="9"/>
        <v>#N/A</v>
      </c>
      <c r="J54" s="5">
        <f t="shared" si="4"/>
        <v>2015</v>
      </c>
      <c r="K54" s="11" t="e">
        <f t="shared" si="5"/>
        <v>#N/A</v>
      </c>
    </row>
    <row r="55" spans="2:11" ht="18.75" customHeight="1" x14ac:dyDescent="0.2">
      <c r="B55" s="5">
        <v>47</v>
      </c>
      <c r="C55" s="27">
        <f t="shared" si="6"/>
        <v>42338</v>
      </c>
      <c r="D55" s="6">
        <f>SUMIFS(销售数据!C:C,销售数据!A:A,时间序列预测工具!C55)</f>
        <v>5909.0000000000009</v>
      </c>
      <c r="E55" s="7">
        <v>1.0363953113555908</v>
      </c>
      <c r="F55" s="8">
        <f t="shared" si="7"/>
        <v>5701.4924085975554</v>
      </c>
      <c r="G55" s="9">
        <f t="shared" si="3"/>
        <v>8.6484832456219252</v>
      </c>
      <c r="H55" s="10" t="e">
        <f t="shared" si="8"/>
        <v>#N/A</v>
      </c>
      <c r="I55" s="10" t="e">
        <f t="shared" si="9"/>
        <v>#N/A</v>
      </c>
      <c r="J55" s="5">
        <f t="shared" si="4"/>
        <v>2015</v>
      </c>
      <c r="K55" s="11" t="e">
        <f t="shared" si="5"/>
        <v>#N/A</v>
      </c>
    </row>
    <row r="56" spans="2:11" ht="18.75" customHeight="1" x14ac:dyDescent="0.2">
      <c r="B56" s="5">
        <v>48</v>
      </c>
      <c r="C56" s="27">
        <f t="shared" si="6"/>
        <v>42369</v>
      </c>
      <c r="D56" s="6">
        <f>SUMIFS(销售数据!C:C,销售数据!A:A,时间序列预测工具!C56)</f>
        <v>6850.4000000000005</v>
      </c>
      <c r="E56" s="7">
        <v>1.1558855772018433</v>
      </c>
      <c r="F56" s="8">
        <f t="shared" si="7"/>
        <v>5926.5381756759898</v>
      </c>
      <c r="G56" s="9">
        <f t="shared" si="3"/>
        <v>8.6871955400201095</v>
      </c>
      <c r="H56" s="10" t="e">
        <f t="shared" si="8"/>
        <v>#N/A</v>
      </c>
      <c r="I56" s="10" t="e">
        <f t="shared" si="9"/>
        <v>#N/A</v>
      </c>
      <c r="J56" s="5" t="str">
        <f t="shared" si="4"/>
        <v/>
      </c>
      <c r="K56" s="11" t="e">
        <f t="shared" si="5"/>
        <v>#N/A</v>
      </c>
    </row>
    <row r="57" spans="2:11" ht="18.75" customHeight="1" x14ac:dyDescent="0.2">
      <c r="B57" s="5">
        <v>49</v>
      </c>
      <c r="C57" s="27">
        <f t="shared" si="6"/>
        <v>42400</v>
      </c>
      <c r="D57" s="6">
        <f>SUMIFS(销售数据!C:C,销售数据!A:A,时间序列预测工具!C57)</f>
        <v>6641.6000000000013</v>
      </c>
      <c r="E57" s="7">
        <v>1.1004866361618042</v>
      </c>
      <c r="F57" s="8">
        <f t="shared" si="7"/>
        <v>6035.1482532891832</v>
      </c>
      <c r="G57" s="9">
        <f t="shared" si="3"/>
        <v>8.7053556988122036</v>
      </c>
      <c r="H57" s="10" t="e">
        <f t="shared" si="8"/>
        <v>#N/A</v>
      </c>
      <c r="I57" s="10" t="e">
        <f t="shared" si="9"/>
        <v>#N/A</v>
      </c>
      <c r="J57" s="5" t="str">
        <f t="shared" si="4"/>
        <v/>
      </c>
      <c r="K57" s="11" t="e">
        <f t="shared" si="5"/>
        <v>#N/A</v>
      </c>
    </row>
    <row r="58" spans="2:11" ht="18.75" customHeight="1" x14ac:dyDescent="0.2">
      <c r="B58" s="5">
        <v>50</v>
      </c>
      <c r="C58" s="27">
        <f t="shared" si="6"/>
        <v>42429</v>
      </c>
      <c r="D58" s="6">
        <f>SUMIFS(销售数据!C:C,销售数据!A:A,时间序列预测工具!C58)</f>
        <v>6001.9000000000015</v>
      </c>
      <c r="E58" s="7">
        <v>1.0082780122756958</v>
      </c>
      <c r="F58" s="8">
        <f t="shared" si="7"/>
        <v>5952.6241045896058</v>
      </c>
      <c r="G58" s="9">
        <f t="shared" si="3"/>
        <v>8.6915874272977476</v>
      </c>
      <c r="H58" s="10" t="e">
        <f t="shared" si="8"/>
        <v>#N/A</v>
      </c>
      <c r="I58" s="10" t="e">
        <f t="shared" si="9"/>
        <v>#N/A</v>
      </c>
      <c r="J58" s="5">
        <f t="shared" si="4"/>
        <v>2016</v>
      </c>
      <c r="K58" s="11" t="e">
        <f t="shared" si="5"/>
        <v>#N/A</v>
      </c>
    </row>
    <row r="59" spans="2:11" ht="18.75" customHeight="1" x14ac:dyDescent="0.2">
      <c r="B59" s="5">
        <v>51</v>
      </c>
      <c r="C59" s="27">
        <f t="shared" si="6"/>
        <v>42460</v>
      </c>
      <c r="D59" s="6">
        <f>SUMIFS(销售数据!C:C,销售数据!A:A,时间序列预测工具!C59)</f>
        <v>5796.7</v>
      </c>
      <c r="E59" s="7">
        <v>0.95060229301452637</v>
      </c>
      <c r="F59" s="8">
        <f t="shared" si="7"/>
        <v>6097.9234350652032</v>
      </c>
      <c r="G59" s="9">
        <f t="shared" si="3"/>
        <v>8.7157035717240827</v>
      </c>
      <c r="H59" s="10" t="e">
        <f t="shared" si="8"/>
        <v>#N/A</v>
      </c>
      <c r="I59" s="10" t="e">
        <f t="shared" si="9"/>
        <v>#N/A</v>
      </c>
      <c r="J59" s="5">
        <f t="shared" si="4"/>
        <v>2016</v>
      </c>
      <c r="K59" s="11" t="e">
        <f t="shared" si="5"/>
        <v>#N/A</v>
      </c>
    </row>
    <row r="60" spans="2:11" ht="18.75" customHeight="1" x14ac:dyDescent="0.2">
      <c r="B60" s="5">
        <v>52</v>
      </c>
      <c r="C60" s="27">
        <f t="shared" si="6"/>
        <v>42490</v>
      </c>
      <c r="D60" s="6">
        <f>SUMIFS(销售数据!C:C,销售数据!A:A,时间序列预测工具!C60)</f>
        <v>5774.6</v>
      </c>
      <c r="E60" s="7">
        <v>0.92429137229919434</v>
      </c>
      <c r="F60" s="8">
        <f t="shared" si="7"/>
        <v>6247.5969949125038</v>
      </c>
      <c r="G60" s="9">
        <f t="shared" si="3"/>
        <v>8.7399521879847484</v>
      </c>
      <c r="H60" s="10" t="e">
        <f t="shared" si="8"/>
        <v>#N/A</v>
      </c>
      <c r="I60" s="10" t="e">
        <f t="shared" si="9"/>
        <v>#N/A</v>
      </c>
      <c r="J60" s="5">
        <f t="shared" si="4"/>
        <v>2016</v>
      </c>
      <c r="K60" s="11" t="e">
        <f t="shared" si="5"/>
        <v>#N/A</v>
      </c>
    </row>
    <row r="61" spans="2:11" ht="18.75" customHeight="1" x14ac:dyDescent="0.2">
      <c r="B61" s="5">
        <v>53</v>
      </c>
      <c r="C61" s="27">
        <f t="shared" si="6"/>
        <v>42521</v>
      </c>
      <c r="D61" s="6">
        <f>SUMIFS(销售数据!C:C,销售数据!A:A,时间序列预测工具!C61)</f>
        <v>6175.6000000000013</v>
      </c>
      <c r="E61" s="7">
        <v>0.96213412284851074</v>
      </c>
      <c r="F61" s="8">
        <f t="shared" si="7"/>
        <v>6418.6477262820845</v>
      </c>
      <c r="G61" s="9">
        <f t="shared" si="3"/>
        <v>8.7669627399619365</v>
      </c>
      <c r="H61" s="10" t="e">
        <f t="shared" si="8"/>
        <v>#N/A</v>
      </c>
      <c r="I61" s="10" t="e">
        <f t="shared" si="9"/>
        <v>#N/A</v>
      </c>
      <c r="J61" s="5">
        <f t="shared" si="4"/>
        <v>2016</v>
      </c>
      <c r="K61" s="11" t="e">
        <f t="shared" si="5"/>
        <v>#N/A</v>
      </c>
    </row>
    <row r="62" spans="2:11" ht="18.75" customHeight="1" x14ac:dyDescent="0.2">
      <c r="B62" s="5">
        <v>54</v>
      </c>
      <c r="C62" s="27">
        <f t="shared" si="6"/>
        <v>42551</v>
      </c>
      <c r="D62" s="6">
        <f>SUMIFS(销售数据!C:C,销售数据!A:A,时间序列预测工具!C62)</f>
        <v>6057.8</v>
      </c>
      <c r="E62" s="7">
        <v>0.94692975282669067</v>
      </c>
      <c r="F62" s="8">
        <f t="shared" si="7"/>
        <v>6397.3066448876416</v>
      </c>
      <c r="G62" s="9">
        <f t="shared" si="3"/>
        <v>8.7636323440348267</v>
      </c>
      <c r="H62" s="10" t="e">
        <f t="shared" si="8"/>
        <v>#N/A</v>
      </c>
      <c r="I62" s="10" t="e">
        <f t="shared" si="9"/>
        <v>#N/A</v>
      </c>
      <c r="J62" s="5">
        <f t="shared" si="4"/>
        <v>2016</v>
      </c>
      <c r="K62" s="11" t="e">
        <f t="shared" si="5"/>
        <v>#N/A</v>
      </c>
    </row>
    <row r="63" spans="2:11" ht="18.75" customHeight="1" x14ac:dyDescent="0.2">
      <c r="B63" s="5">
        <v>55</v>
      </c>
      <c r="C63" s="27">
        <f t="shared" si="6"/>
        <v>42582</v>
      </c>
      <c r="D63" s="6">
        <f>SUMIFS(销售数据!C:C,销售数据!A:A,时间序列预测工具!C63)</f>
        <v>6012.2000000000007</v>
      </c>
      <c r="E63" s="7">
        <v>0.92999345064163208</v>
      </c>
      <c r="F63" s="8">
        <f t="shared" si="7"/>
        <v>6464.7767098273571</v>
      </c>
      <c r="G63" s="9">
        <f t="shared" si="3"/>
        <v>8.7741237522997295</v>
      </c>
      <c r="H63" s="10" t="e">
        <f t="shared" si="8"/>
        <v>#N/A</v>
      </c>
      <c r="I63" s="10" t="e">
        <f t="shared" si="9"/>
        <v>#N/A</v>
      </c>
      <c r="J63" s="5">
        <f t="shared" si="4"/>
        <v>2016</v>
      </c>
      <c r="K63" s="11" t="e">
        <f t="shared" si="5"/>
        <v>#N/A</v>
      </c>
    </row>
    <row r="64" spans="2:11" ht="18.75" customHeight="1" x14ac:dyDescent="0.2">
      <c r="B64" s="5">
        <v>56</v>
      </c>
      <c r="C64" s="27">
        <f t="shared" si="6"/>
        <v>42613</v>
      </c>
      <c r="D64" s="6">
        <f>SUMIFS(销售数据!C:C,销售数据!A:A,时间序列预测工具!C64)</f>
        <v>6077.4000000000015</v>
      </c>
      <c r="E64" s="7">
        <v>0.93223798274993896</v>
      </c>
      <c r="F64" s="8">
        <f t="shared" si="7"/>
        <v>6519.1508096170191</v>
      </c>
      <c r="G64" s="9">
        <f t="shared" si="3"/>
        <v>8.7824994025144516</v>
      </c>
      <c r="H64" s="10" t="e">
        <f t="shared" si="8"/>
        <v>#N/A</v>
      </c>
      <c r="I64" s="10" t="e">
        <f t="shared" si="9"/>
        <v>#N/A</v>
      </c>
      <c r="J64" s="5">
        <f t="shared" si="4"/>
        <v>2016</v>
      </c>
      <c r="K64" s="11" t="e">
        <f t="shared" si="5"/>
        <v>#N/A</v>
      </c>
    </row>
    <row r="65" spans="2:11" ht="18.75" customHeight="1" x14ac:dyDescent="0.2">
      <c r="B65" s="5">
        <v>57</v>
      </c>
      <c r="C65" s="27">
        <f t="shared" si="6"/>
        <v>42643</v>
      </c>
      <c r="D65" s="6">
        <f>SUMIFS(销售数据!C:C,销售数据!A:A,时间序列预测工具!C65)</f>
        <v>6553.6</v>
      </c>
      <c r="E65" s="7">
        <v>1.0012463331222534</v>
      </c>
      <c r="F65" s="8">
        <f t="shared" si="7"/>
        <v>6545.4421985881045</v>
      </c>
      <c r="G65" s="9">
        <f t="shared" si="3"/>
        <v>8.786524238871225</v>
      </c>
      <c r="H65" s="10" t="e">
        <f t="shared" si="8"/>
        <v>#N/A</v>
      </c>
      <c r="I65" s="10" t="e">
        <f t="shared" si="9"/>
        <v>#N/A</v>
      </c>
      <c r="J65" s="5">
        <f t="shared" si="4"/>
        <v>2016</v>
      </c>
      <c r="K65" s="11" t="e">
        <f t="shared" si="5"/>
        <v>#N/A</v>
      </c>
    </row>
    <row r="66" spans="2:11" ht="18.75" customHeight="1" x14ac:dyDescent="0.2">
      <c r="B66" s="5">
        <v>58</v>
      </c>
      <c r="C66" s="27">
        <f t="shared" si="6"/>
        <v>42674</v>
      </c>
      <c r="D66" s="6">
        <f>SUMIFS(销售数据!C:C,销售数据!A:A,时间序列预测工具!C66)</f>
        <v>6997.7000000000007</v>
      </c>
      <c r="E66" s="7">
        <v>1.054426908493042</v>
      </c>
      <c r="F66" s="8">
        <f t="shared" si="7"/>
        <v>6636.4960374550019</v>
      </c>
      <c r="G66" s="9">
        <f t="shared" si="3"/>
        <v>8.8003393979825262</v>
      </c>
      <c r="H66" s="10" t="e">
        <f t="shared" si="8"/>
        <v>#N/A</v>
      </c>
      <c r="I66" s="10" t="e">
        <f t="shared" si="9"/>
        <v>#N/A</v>
      </c>
      <c r="J66" s="5">
        <f t="shared" si="4"/>
        <v>2016</v>
      </c>
      <c r="K66" s="11" t="e">
        <f t="shared" si="5"/>
        <v>#N/A</v>
      </c>
    </row>
    <row r="67" spans="2:11" ht="18.75" customHeight="1" x14ac:dyDescent="0.2">
      <c r="B67" s="5">
        <v>59</v>
      </c>
      <c r="C67" s="27">
        <f t="shared" si="6"/>
        <v>42704</v>
      </c>
      <c r="D67" s="6">
        <f>SUMIFS(销售数据!C:C,销售数据!A:A,时间序列预测工具!C67)</f>
        <v>6821.7000000000007</v>
      </c>
      <c r="E67" s="7">
        <v>1.034953236579895</v>
      </c>
      <c r="F67" s="8">
        <f t="shared" si="7"/>
        <v>6591.3123017451308</v>
      </c>
      <c r="G67" s="9">
        <f t="shared" si="3"/>
        <v>8.7935077429896733</v>
      </c>
      <c r="H67" s="10" t="e">
        <f t="shared" si="8"/>
        <v>#N/A</v>
      </c>
      <c r="I67" s="10" t="e">
        <f t="shared" si="9"/>
        <v>#N/A</v>
      </c>
      <c r="J67" s="5">
        <f t="shared" si="4"/>
        <v>2016</v>
      </c>
      <c r="K67" s="11" t="e">
        <f t="shared" si="5"/>
        <v>#N/A</v>
      </c>
    </row>
    <row r="68" spans="2:11" ht="18.75" customHeight="1" x14ac:dyDescent="0.2">
      <c r="B68" s="5">
        <v>60</v>
      </c>
      <c r="C68" s="27">
        <f t="shared" si="6"/>
        <v>42735</v>
      </c>
      <c r="D68" s="6">
        <f>SUMIFS(销售数据!C:C,销售数据!A:A,时间序列预测工具!C68)</f>
        <v>7499.2000000000007</v>
      </c>
      <c r="E68" s="7">
        <v>1.1505850553512573</v>
      </c>
      <c r="F68" s="8">
        <f t="shared" si="7"/>
        <v>6517.7276248478656</v>
      </c>
      <c r="G68" s="9">
        <f t="shared" si="3"/>
        <v>8.7822810703758254</v>
      </c>
      <c r="H68" s="10" t="e">
        <f t="shared" si="8"/>
        <v>#N/A</v>
      </c>
      <c r="I68" s="10" t="e">
        <f t="shared" si="9"/>
        <v>#N/A</v>
      </c>
      <c r="J68" s="5" t="str">
        <f t="shared" si="4"/>
        <v/>
      </c>
      <c r="K68" s="11" t="e">
        <f t="shared" si="5"/>
        <v>#N/A</v>
      </c>
    </row>
    <row r="69" spans="2:11" ht="18.75" customHeight="1" x14ac:dyDescent="0.2">
      <c r="B69" s="5">
        <v>61</v>
      </c>
      <c r="C69" s="27">
        <f t="shared" si="6"/>
        <v>42766</v>
      </c>
      <c r="D69" s="6">
        <f>SUMIFS(销售数据!C:C,销售数据!A:A,时间序列预测工具!C69)</f>
        <v>7488.3</v>
      </c>
      <c r="E69" s="7">
        <v>1.1022505760192871</v>
      </c>
      <c r="F69" s="8">
        <f t="shared" si="7"/>
        <v>6793.6458033377075</v>
      </c>
      <c r="G69" s="9">
        <f t="shared" si="3"/>
        <v>8.823743013616701</v>
      </c>
      <c r="H69" s="10" t="e">
        <f t="shared" si="8"/>
        <v>#N/A</v>
      </c>
      <c r="I69" s="10" t="e">
        <f t="shared" si="9"/>
        <v>#N/A</v>
      </c>
      <c r="J69" s="5" t="str">
        <f t="shared" si="4"/>
        <v/>
      </c>
      <c r="K69" s="11" t="e">
        <f t="shared" si="5"/>
        <v>#N/A</v>
      </c>
    </row>
    <row r="70" spans="2:11" ht="18.75" customHeight="1" x14ac:dyDescent="0.2">
      <c r="B70" s="5">
        <v>62</v>
      </c>
      <c r="C70" s="27">
        <f t="shared" si="6"/>
        <v>42794</v>
      </c>
      <c r="D70" s="6">
        <f>SUMIFS(销售数据!C:C,销售数据!A:A,时间序列预测工具!C70)</f>
        <v>7013.7000000000016</v>
      </c>
      <c r="E70" s="7">
        <v>1.0081138610839844</v>
      </c>
      <c r="F70" s="8">
        <f t="shared" si="7"/>
        <v>6957.2498412614341</v>
      </c>
      <c r="G70" s="9">
        <f t="shared" si="3"/>
        <v>8.8475395374911798</v>
      </c>
      <c r="H70" s="10" t="e">
        <f t="shared" si="8"/>
        <v>#N/A</v>
      </c>
      <c r="I70" s="10" t="e">
        <f t="shared" si="9"/>
        <v>#N/A</v>
      </c>
      <c r="J70" s="5">
        <f t="shared" si="4"/>
        <v>2017</v>
      </c>
      <c r="K70" s="11" t="e">
        <f t="shared" si="5"/>
        <v>#N/A</v>
      </c>
    </row>
    <row r="71" spans="2:11" ht="18.75" customHeight="1" x14ac:dyDescent="0.2">
      <c r="B71" s="5">
        <v>63</v>
      </c>
      <c r="C71" s="27">
        <f t="shared" si="6"/>
        <v>42825</v>
      </c>
      <c r="D71" s="6">
        <f>SUMIFS(销售数据!C:C,销售数据!A:A,时间序列预测工具!C71)</f>
        <v>6685.8</v>
      </c>
      <c r="E71" s="7">
        <v>0.95049607753753662</v>
      </c>
      <c r="F71" s="8">
        <f t="shared" si="7"/>
        <v>7034.0111421827169</v>
      </c>
      <c r="G71" s="9">
        <f t="shared" si="3"/>
        <v>8.8585123970791209</v>
      </c>
      <c r="H71" s="10" t="e">
        <f t="shared" si="8"/>
        <v>#N/A</v>
      </c>
      <c r="I71" s="10" t="e">
        <f t="shared" si="9"/>
        <v>#N/A</v>
      </c>
      <c r="J71" s="5">
        <f t="shared" si="4"/>
        <v>2017</v>
      </c>
      <c r="K71" s="11" t="e">
        <f t="shared" si="5"/>
        <v>#N/A</v>
      </c>
    </row>
    <row r="72" spans="2:11" ht="18.75" customHeight="1" x14ac:dyDescent="0.2">
      <c r="B72" s="5">
        <v>64</v>
      </c>
      <c r="C72" s="27">
        <f t="shared" si="6"/>
        <v>42855</v>
      </c>
      <c r="D72" s="6">
        <f>SUMIFS(销售数据!C:C,销售数据!A:A,时间序列预测工具!C72)</f>
        <v>6672.5000000000009</v>
      </c>
      <c r="E72" s="7">
        <v>0.92450404167175293</v>
      </c>
      <c r="F72" s="8">
        <f t="shared" si="7"/>
        <v>7217.3832663125186</v>
      </c>
      <c r="G72" s="9">
        <f t="shared" si="3"/>
        <v>8.8842477377052234</v>
      </c>
      <c r="H72" s="10" t="e">
        <f t="shared" si="8"/>
        <v>#N/A</v>
      </c>
      <c r="I72" s="10" t="e">
        <f t="shared" si="9"/>
        <v>#N/A</v>
      </c>
      <c r="J72" s="5">
        <f t="shared" si="4"/>
        <v>2017</v>
      </c>
      <c r="K72" s="11" t="e">
        <f t="shared" si="5"/>
        <v>#N/A</v>
      </c>
    </row>
    <row r="73" spans="2:11" ht="18.75" customHeight="1" x14ac:dyDescent="0.2">
      <c r="B73" s="5">
        <v>65</v>
      </c>
      <c r="C73" s="27">
        <f t="shared" si="6"/>
        <v>42886</v>
      </c>
      <c r="D73" s="6">
        <f>SUMIFS(销售数据!C:C,销售数据!A:A,时间序列预测工具!C73)</f>
        <v>7157.5000000000009</v>
      </c>
      <c r="E73" s="7">
        <v>0.9655645489692688</v>
      </c>
      <c r="F73" s="8">
        <f t="shared" ref="F73:F104" si="10">IF(D73&gt;0,D73/E73,NA())</f>
        <v>7412.7617958225228</v>
      </c>
      <c r="G73" s="9">
        <f t="shared" si="3"/>
        <v>8.9109583608371192</v>
      </c>
      <c r="H73" s="10" t="e">
        <f t="shared" ref="H73:H104" si="11">IF(D73="",$S$5+$R$5*B73,NA())*E73</f>
        <v>#N/A</v>
      </c>
      <c r="I73" s="10" t="e">
        <f t="shared" ref="I73:I104" si="12">IF(D73="",$S$6*EXP(($R$6-1)*B73),NA())*E73</f>
        <v>#N/A</v>
      </c>
      <c r="J73" s="5">
        <f t="shared" si="4"/>
        <v>2017</v>
      </c>
      <c r="K73" s="11" t="e">
        <f t="shared" si="5"/>
        <v>#N/A</v>
      </c>
    </row>
    <row r="74" spans="2:11" ht="18.75" customHeight="1" x14ac:dyDescent="0.2">
      <c r="B74" s="5">
        <v>66</v>
      </c>
      <c r="C74" s="27">
        <f t="shared" si="6"/>
        <v>42916</v>
      </c>
      <c r="D74" s="6">
        <f>SUMIFS(销售数据!C:C,销售数据!A:A,时间序列预测工具!C74)</f>
        <v>7026.0000000000009</v>
      </c>
      <c r="E74" s="7">
        <v>0.94636422395706177</v>
      </c>
      <c r="F74" s="8">
        <f t="shared" si="10"/>
        <v>7424.2028831372891</v>
      </c>
      <c r="G74" s="9">
        <f t="shared" ref="G74:G128" si="13">LN(F74)</f>
        <v>8.9125006021014279</v>
      </c>
      <c r="H74" s="10" t="e">
        <f t="shared" si="11"/>
        <v>#N/A</v>
      </c>
      <c r="I74" s="10" t="e">
        <f t="shared" si="12"/>
        <v>#N/A</v>
      </c>
      <c r="J74" s="5">
        <f t="shared" ref="J74:J128" si="14">IF(OR(MONTH(C74)=12,MONTH(C74)=1),"",YEAR(C74))</f>
        <v>2017</v>
      </c>
      <c r="K74" s="11" t="e">
        <f t="shared" ref="K74:K128" si="15">IF(E74="",NA(),IF(B74&lt;$C$4,NA(),IF(B74=$C$4,D74,IF(B74&lt;=$C$4+$C$5,IF($C$6="指数模型",I74,IF($C$6="线性模型",H74,NA())),NA()))))</f>
        <v>#N/A</v>
      </c>
    </row>
    <row r="75" spans="2:11" ht="18.75" customHeight="1" x14ac:dyDescent="0.2">
      <c r="B75" s="5">
        <v>67</v>
      </c>
      <c r="C75" s="27">
        <f t="shared" ref="C75:C128" si="16">EOMONTH(C74,1)</f>
        <v>42947</v>
      </c>
      <c r="D75" s="6">
        <f>SUMIFS(销售数据!C:C,销售数据!A:A,时间序列预测工具!C75)</f>
        <v>6998.2000000000016</v>
      </c>
      <c r="E75" s="7">
        <v>0.92973947525024414</v>
      </c>
      <c r="F75" s="8">
        <f t="shared" si="10"/>
        <v>7527.0548215847248</v>
      </c>
      <c r="G75" s="9">
        <f t="shared" si="13"/>
        <v>8.9262591183326698</v>
      </c>
      <c r="H75" s="10" t="e">
        <f t="shared" si="11"/>
        <v>#N/A</v>
      </c>
      <c r="I75" s="10" t="e">
        <f t="shared" si="12"/>
        <v>#N/A</v>
      </c>
      <c r="J75" s="5">
        <f t="shared" si="14"/>
        <v>2017</v>
      </c>
      <c r="K75" s="11" t="e">
        <f t="shared" si="15"/>
        <v>#N/A</v>
      </c>
    </row>
    <row r="76" spans="2:11" ht="18.75" customHeight="1" x14ac:dyDescent="0.2">
      <c r="B76" s="5">
        <v>68</v>
      </c>
      <c r="C76" s="27">
        <f t="shared" si="16"/>
        <v>42978</v>
      </c>
      <c r="D76" s="6">
        <f>SUMIFS(销售数据!C:C,销售数据!A:A,时间序列预测工具!C76)</f>
        <v>7116.6000000000022</v>
      </c>
      <c r="E76" s="7">
        <v>0.93261557817459106</v>
      </c>
      <c r="F76" s="8">
        <f t="shared" si="10"/>
        <v>7630.7968326342207</v>
      </c>
      <c r="G76" s="9">
        <f t="shared" si="13"/>
        <v>8.9399475529847727</v>
      </c>
      <c r="H76" s="10" t="e">
        <f t="shared" si="11"/>
        <v>#N/A</v>
      </c>
      <c r="I76" s="10" t="e">
        <f t="shared" si="12"/>
        <v>#N/A</v>
      </c>
      <c r="J76" s="5">
        <f t="shared" si="14"/>
        <v>2017</v>
      </c>
      <c r="K76" s="11" t="e">
        <f t="shared" si="15"/>
        <v>#N/A</v>
      </c>
    </row>
    <row r="77" spans="2:11" ht="18.75" customHeight="1" x14ac:dyDescent="0.2">
      <c r="B77" s="5">
        <v>69</v>
      </c>
      <c r="C77" s="27">
        <f t="shared" si="16"/>
        <v>43008</v>
      </c>
      <c r="D77" s="6">
        <f>SUMIFS(销售数据!C:C,销售数据!A:A,时间序列预测工具!C77)</f>
        <v>7668.4000000000015</v>
      </c>
      <c r="E77" s="7">
        <v>0.99968302249908447</v>
      </c>
      <c r="F77" s="8">
        <f t="shared" si="10"/>
        <v>7670.8314809927906</v>
      </c>
      <c r="G77" s="9">
        <f t="shared" si="13"/>
        <v>8.9451802953947972</v>
      </c>
      <c r="H77" s="10" t="e">
        <f t="shared" si="11"/>
        <v>#N/A</v>
      </c>
      <c r="I77" s="10" t="e">
        <f t="shared" si="12"/>
        <v>#N/A</v>
      </c>
      <c r="J77" s="5">
        <f t="shared" si="14"/>
        <v>2017</v>
      </c>
      <c r="K77" s="11" t="e">
        <f t="shared" si="15"/>
        <v>#N/A</v>
      </c>
    </row>
    <row r="78" spans="2:11" ht="18.75" customHeight="1" x14ac:dyDescent="0.2">
      <c r="B78" s="5">
        <v>70</v>
      </c>
      <c r="C78" s="27">
        <f t="shared" si="16"/>
        <v>43039</v>
      </c>
      <c r="D78" s="6">
        <f>SUMIFS(销售数据!C:C,销售数据!A:A,时间序列预测工具!C78)</f>
        <v>8263.0000000000018</v>
      </c>
      <c r="E78" s="7">
        <v>1.0533924102783203</v>
      </c>
      <c r="F78" s="8">
        <f t="shared" si="10"/>
        <v>7844.1803067641313</v>
      </c>
      <c r="G78" s="9">
        <f t="shared" si="13"/>
        <v>8.9675271736359523</v>
      </c>
      <c r="H78" s="10" t="e">
        <f t="shared" si="11"/>
        <v>#N/A</v>
      </c>
      <c r="I78" s="10" t="e">
        <f t="shared" si="12"/>
        <v>#N/A</v>
      </c>
      <c r="J78" s="5">
        <f t="shared" si="14"/>
        <v>2017</v>
      </c>
      <c r="K78" s="11">
        <f t="shared" si="15"/>
        <v>8263.0000000000018</v>
      </c>
    </row>
    <row r="79" spans="2:11" ht="18.75" customHeight="1" x14ac:dyDescent="0.2">
      <c r="B79" s="5">
        <v>71</v>
      </c>
      <c r="C79" s="27">
        <f t="shared" si="16"/>
        <v>43069</v>
      </c>
      <c r="D79" s="6"/>
      <c r="E79" s="7">
        <v>1.034953236579895</v>
      </c>
      <c r="F79" s="8" t="e">
        <f t="shared" si="10"/>
        <v>#N/A</v>
      </c>
      <c r="G79" s="9" t="e">
        <f t="shared" si="13"/>
        <v>#N/A</v>
      </c>
      <c r="H79" s="10">
        <f t="shared" ca="1" si="11"/>
        <v>7704.4790154221319</v>
      </c>
      <c r="I79" s="10">
        <f t="shared" ca="1" si="12"/>
        <v>8153.3274633379669</v>
      </c>
      <c r="J79" s="5">
        <f t="shared" si="14"/>
        <v>2017</v>
      </c>
      <c r="K79" s="11">
        <f t="shared" ca="1" si="15"/>
        <v>8153.3274633379669</v>
      </c>
    </row>
    <row r="80" spans="2:11" ht="18.75" customHeight="1" x14ac:dyDescent="0.2">
      <c r="B80" s="5">
        <v>72</v>
      </c>
      <c r="C80" s="27">
        <f t="shared" si="16"/>
        <v>43100</v>
      </c>
      <c r="D80" s="6"/>
      <c r="E80" s="7">
        <v>1.1505850553512573</v>
      </c>
      <c r="F80" s="8" t="e">
        <f t="shared" si="10"/>
        <v>#N/A</v>
      </c>
      <c r="G80" s="9" t="e">
        <f t="shared" si="13"/>
        <v>#N/A</v>
      </c>
      <c r="H80" s="10">
        <f t="shared" ca="1" si="11"/>
        <v>8642.5979503994258</v>
      </c>
      <c r="I80" s="10">
        <f t="shared" ca="1" si="12"/>
        <v>9186.7578236989375</v>
      </c>
      <c r="J80" s="5" t="str">
        <f t="shared" si="14"/>
        <v/>
      </c>
      <c r="K80" s="11">
        <f t="shared" ca="1" si="15"/>
        <v>9186.7578236989375</v>
      </c>
    </row>
    <row r="81" spans="2:11" ht="18.75" customHeight="1" x14ac:dyDescent="0.2">
      <c r="B81" s="5">
        <v>73</v>
      </c>
      <c r="C81" s="27">
        <f t="shared" si="16"/>
        <v>43131</v>
      </c>
      <c r="D81" s="6"/>
      <c r="E81" s="7">
        <v>1.1022505760192871</v>
      </c>
      <c r="F81" s="8" t="e">
        <f t="shared" si="10"/>
        <v>#N/A</v>
      </c>
      <c r="G81" s="9" t="e">
        <f t="shared" si="13"/>
        <v>#N/A</v>
      </c>
      <c r="H81" s="10">
        <f t="shared" ca="1" si="11"/>
        <v>8353.609760168787</v>
      </c>
      <c r="I81" s="10">
        <f t="shared" ca="1" si="12"/>
        <v>8919.7617502983194</v>
      </c>
      <c r="J81" s="5" t="str">
        <f t="shared" si="14"/>
        <v/>
      </c>
      <c r="K81" s="11">
        <f t="shared" ca="1" si="15"/>
        <v>8919.7617502983194</v>
      </c>
    </row>
    <row r="82" spans="2:11" ht="18.75" customHeight="1" x14ac:dyDescent="0.2">
      <c r="B82" s="5">
        <v>74</v>
      </c>
      <c r="C82" s="27">
        <f t="shared" si="16"/>
        <v>43159</v>
      </c>
      <c r="D82" s="6"/>
      <c r="E82" s="7">
        <v>1.0081138610839844</v>
      </c>
      <c r="F82" s="8" t="e">
        <f t="shared" si="10"/>
        <v>#N/A</v>
      </c>
      <c r="G82" s="9" t="e">
        <f t="shared" si="13"/>
        <v>#N/A</v>
      </c>
      <c r="H82" s="10">
        <f t="shared" ca="1" si="11"/>
        <v>7707.926265729976</v>
      </c>
      <c r="I82" s="10">
        <f t="shared" ca="1" si="12"/>
        <v>8268.2173938694323</v>
      </c>
      <c r="J82" s="5">
        <f t="shared" si="14"/>
        <v>2018</v>
      </c>
      <c r="K82" s="11">
        <f t="shared" ca="1" si="15"/>
        <v>8268.2173938694323</v>
      </c>
    </row>
    <row r="83" spans="2:11" ht="18.75" customHeight="1" x14ac:dyDescent="0.2">
      <c r="B83" s="5">
        <v>75</v>
      </c>
      <c r="C83" s="27">
        <f t="shared" si="16"/>
        <v>43190</v>
      </c>
      <c r="D83" s="6"/>
      <c r="E83" s="7">
        <v>0.95049607753753662</v>
      </c>
      <c r="F83" s="8" t="e">
        <f t="shared" si="10"/>
        <v>#N/A</v>
      </c>
      <c r="G83" s="9" t="e">
        <f t="shared" si="13"/>
        <v>#N/A</v>
      </c>
      <c r="H83" s="10">
        <f t="shared" ca="1" si="11"/>
        <v>7331.2639850891264</v>
      </c>
      <c r="I83" s="10">
        <f t="shared" ca="1" si="12"/>
        <v>7900.9990680182063</v>
      </c>
      <c r="J83" s="5">
        <f t="shared" si="14"/>
        <v>2018</v>
      </c>
      <c r="K83" s="11">
        <f t="shared" ca="1" si="15"/>
        <v>7900.9990680182063</v>
      </c>
    </row>
    <row r="84" spans="2:11" ht="18.75" customHeight="1" x14ac:dyDescent="0.2">
      <c r="B84" s="5">
        <v>76</v>
      </c>
      <c r="C84" s="27">
        <f t="shared" si="16"/>
        <v>43220</v>
      </c>
      <c r="D84" s="6"/>
      <c r="E84" s="7">
        <v>0.92450404167175293</v>
      </c>
      <c r="F84" s="8" t="e">
        <f t="shared" si="10"/>
        <v>#N/A</v>
      </c>
      <c r="G84" s="9" t="e">
        <f t="shared" si="13"/>
        <v>#N/A</v>
      </c>
      <c r="H84" s="10">
        <f t="shared" ca="1" si="11"/>
        <v>7192.9151246788297</v>
      </c>
      <c r="I84" s="10">
        <f t="shared" ca="1" si="12"/>
        <v>7788.7878820457272</v>
      </c>
      <c r="J84" s="5">
        <f t="shared" si="14"/>
        <v>2018</v>
      </c>
      <c r="K84" s="11">
        <f t="shared" ca="1" si="15"/>
        <v>7788.7878820457272</v>
      </c>
    </row>
    <row r="85" spans="2:11" ht="18.75" customHeight="1" x14ac:dyDescent="0.2">
      <c r="B85" s="5">
        <v>77</v>
      </c>
      <c r="C85" s="27">
        <f t="shared" si="16"/>
        <v>43251</v>
      </c>
      <c r="D85" s="6"/>
      <c r="E85" s="7">
        <v>0.9655645489692688</v>
      </c>
      <c r="F85" s="8" t="e">
        <f t="shared" si="10"/>
        <v>#N/A</v>
      </c>
      <c r="G85" s="9" t="e">
        <f t="shared" si="13"/>
        <v>#N/A</v>
      </c>
      <c r="H85" s="10">
        <f t="shared" ca="1" si="11"/>
        <v>7577.267556957353</v>
      </c>
      <c r="I85" s="10">
        <f t="shared" ca="1" si="12"/>
        <v>8244.6411070783051</v>
      </c>
      <c r="J85" s="5">
        <f t="shared" si="14"/>
        <v>2018</v>
      </c>
      <c r="K85" s="11">
        <f t="shared" ca="1" si="15"/>
        <v>8244.6411070783051</v>
      </c>
    </row>
    <row r="86" spans="2:11" ht="18.75" customHeight="1" x14ac:dyDescent="0.2">
      <c r="B86" s="5">
        <v>78</v>
      </c>
      <c r="C86" s="27">
        <f t="shared" si="16"/>
        <v>43281</v>
      </c>
      <c r="D86" s="6"/>
      <c r="E86" s="7">
        <v>0.94636422395706177</v>
      </c>
      <c r="F86" s="8" t="e">
        <f t="shared" si="10"/>
        <v>#N/A</v>
      </c>
      <c r="G86" s="9" t="e">
        <f t="shared" si="13"/>
        <v>#N/A</v>
      </c>
      <c r="H86" s="10">
        <f t="shared" ca="1" si="11"/>
        <v>7490.1922083184199</v>
      </c>
      <c r="I86" s="10">
        <f t="shared" ca="1" si="12"/>
        <v>8189.8913082205099</v>
      </c>
      <c r="J86" s="5">
        <f t="shared" si="14"/>
        <v>2018</v>
      </c>
      <c r="K86" s="11">
        <f t="shared" ca="1" si="15"/>
        <v>8189.8913082205099</v>
      </c>
    </row>
    <row r="87" spans="2:11" ht="18.75" customHeight="1" x14ac:dyDescent="0.2">
      <c r="B87" s="5">
        <v>79</v>
      </c>
      <c r="C87" s="27">
        <f t="shared" si="16"/>
        <v>43312</v>
      </c>
      <c r="D87" s="6"/>
      <c r="E87" s="7">
        <v>0.92973947525024414</v>
      </c>
      <c r="F87" s="8" t="e">
        <f t="shared" si="10"/>
        <v>#N/A</v>
      </c>
      <c r="G87" s="9" t="e">
        <f t="shared" si="13"/>
        <v>#N/A</v>
      </c>
      <c r="H87" s="10">
        <f t="shared" ca="1" si="11"/>
        <v>7421.0942041513908</v>
      </c>
      <c r="I87" s="10">
        <f t="shared" ca="1" si="12"/>
        <v>8154.7467004845121</v>
      </c>
      <c r="J87" s="5">
        <f t="shared" si="14"/>
        <v>2018</v>
      </c>
      <c r="K87" s="11">
        <f t="shared" ca="1" si="15"/>
        <v>8154.7467004845121</v>
      </c>
    </row>
    <row r="88" spans="2:11" ht="18.75" customHeight="1" x14ac:dyDescent="0.2">
      <c r="B88" s="5">
        <v>80</v>
      </c>
      <c r="C88" s="27">
        <f t="shared" si="16"/>
        <v>43343</v>
      </c>
      <c r="D88" s="6"/>
      <c r="E88" s="7">
        <v>0.93261557817459106</v>
      </c>
      <c r="F88" s="8" t="e">
        <f t="shared" si="10"/>
        <v>#N/A</v>
      </c>
      <c r="G88" s="9" t="e">
        <f t="shared" si="13"/>
        <v>#N/A</v>
      </c>
      <c r="H88" s="10">
        <f t="shared" ca="1" si="11"/>
        <v>7506.7262277157342</v>
      </c>
      <c r="I88" s="10">
        <f t="shared" ca="1" si="12"/>
        <v>8290.5100720250666</v>
      </c>
      <c r="J88" s="5">
        <f t="shared" si="14"/>
        <v>2018</v>
      </c>
      <c r="K88" s="11">
        <f t="shared" ca="1" si="15"/>
        <v>8290.5100720250666</v>
      </c>
    </row>
    <row r="89" spans="2:11" ht="18.75" customHeight="1" x14ac:dyDescent="0.2">
      <c r="B89" s="5">
        <v>81</v>
      </c>
      <c r="C89" s="27">
        <f t="shared" si="16"/>
        <v>43373</v>
      </c>
      <c r="D89" s="6"/>
      <c r="E89" s="7">
        <v>0.99968302249908447</v>
      </c>
      <c r="F89" s="8" t="e">
        <f t="shared" si="10"/>
        <v>#N/A</v>
      </c>
      <c r="G89" s="9" t="e">
        <f t="shared" si="13"/>
        <v>#N/A</v>
      </c>
      <c r="H89" s="10">
        <f t="shared" ca="1" si="11"/>
        <v>8113.7419444725665</v>
      </c>
      <c r="I89" s="10">
        <f t="shared" ca="1" si="12"/>
        <v>9006.7951058194631</v>
      </c>
      <c r="J89" s="5">
        <f t="shared" si="14"/>
        <v>2018</v>
      </c>
      <c r="K89" s="11">
        <f t="shared" ca="1" si="15"/>
        <v>9006.7951058194631</v>
      </c>
    </row>
    <row r="90" spans="2:11" ht="18.75" customHeight="1" x14ac:dyDescent="0.2">
      <c r="B90" s="5">
        <v>82</v>
      </c>
      <c r="C90" s="27">
        <f t="shared" si="16"/>
        <v>43404</v>
      </c>
      <c r="D90" s="6"/>
      <c r="E90" s="7">
        <v>1.0533924102783203</v>
      </c>
      <c r="F90" s="8" t="e">
        <f t="shared" si="10"/>
        <v>#N/A</v>
      </c>
      <c r="G90" s="9" t="e">
        <f t="shared" si="13"/>
        <v>#N/A</v>
      </c>
      <c r="H90" s="10">
        <f t="shared" ca="1" si="11"/>
        <v>8620.4561239208233</v>
      </c>
      <c r="I90" s="10">
        <f t="shared" ca="1" si="12"/>
        <v>9618.9470115458062</v>
      </c>
      <c r="J90" s="5">
        <f t="shared" si="14"/>
        <v>2018</v>
      </c>
      <c r="K90" s="11">
        <f t="shared" ca="1" si="15"/>
        <v>9618.9470115458062</v>
      </c>
    </row>
    <row r="91" spans="2:11" ht="18.75" customHeight="1" x14ac:dyDescent="0.2">
      <c r="B91" s="5">
        <v>83</v>
      </c>
      <c r="C91" s="27">
        <f t="shared" si="16"/>
        <v>43434</v>
      </c>
      <c r="D91" s="6"/>
      <c r="E91" s="7">
        <v>1.034953236579895</v>
      </c>
      <c r="F91" s="8" t="e">
        <f t="shared" si="10"/>
        <v>#N/A</v>
      </c>
      <c r="G91" s="9" t="e">
        <f t="shared" si="13"/>
        <v>#N/A</v>
      </c>
      <c r="H91" s="10">
        <f t="shared" ca="1" si="11"/>
        <v>8539.1115158918728</v>
      </c>
      <c r="I91" s="10">
        <f t="shared" ca="1" si="12"/>
        <v>9578.2783837035113</v>
      </c>
      <c r="J91" s="5">
        <f t="shared" si="14"/>
        <v>2018</v>
      </c>
      <c r="K91" s="11">
        <f t="shared" ca="1" si="15"/>
        <v>9578.2783837035113</v>
      </c>
    </row>
    <row r="92" spans="2:11" ht="18.75" customHeight="1" x14ac:dyDescent="0.2">
      <c r="B92" s="5">
        <v>84</v>
      </c>
      <c r="C92" s="27">
        <f t="shared" si="16"/>
        <v>43465</v>
      </c>
      <c r="D92" s="6"/>
      <c r="E92" s="7">
        <v>1.1505850553512573</v>
      </c>
      <c r="F92" s="8" t="e">
        <f t="shared" si="10"/>
        <v>#N/A</v>
      </c>
      <c r="G92" s="9" t="e">
        <f t="shared" si="13"/>
        <v>#N/A</v>
      </c>
      <c r="H92" s="10">
        <f t="shared" ca="1" si="11"/>
        <v>9570.4811124680746</v>
      </c>
      <c r="I92" s="10">
        <f t="shared" ca="1" si="12"/>
        <v>10792.320592386737</v>
      </c>
      <c r="J92" s="5" t="str">
        <f t="shared" si="14"/>
        <v/>
      </c>
      <c r="K92" s="11">
        <f t="shared" ca="1" si="15"/>
        <v>10792.320592386737</v>
      </c>
    </row>
    <row r="93" spans="2:11" ht="18.75" customHeight="1" x14ac:dyDescent="0.2">
      <c r="B93" s="5">
        <v>85</v>
      </c>
      <c r="C93" s="27">
        <f t="shared" si="16"/>
        <v>43496</v>
      </c>
      <c r="D93" s="6"/>
      <c r="E93" s="7">
        <v>1.1022505760192871</v>
      </c>
      <c r="F93" s="8" t="e">
        <f t="shared" si="10"/>
        <v>#N/A</v>
      </c>
      <c r="G93" s="9" t="e">
        <f t="shared" si="13"/>
        <v>#N/A</v>
      </c>
      <c r="H93" s="10">
        <f t="shared" ca="1" si="11"/>
        <v>9242.513839977586</v>
      </c>
      <c r="I93" s="10">
        <f t="shared" ca="1" si="12"/>
        <v>10478.66181566199</v>
      </c>
      <c r="J93" s="5" t="str">
        <f t="shared" si="14"/>
        <v/>
      </c>
      <c r="K93" s="11">
        <f t="shared" ca="1" si="15"/>
        <v>10478.66181566199</v>
      </c>
    </row>
    <row r="94" spans="2:11" ht="18.75" customHeight="1" x14ac:dyDescent="0.2">
      <c r="B94" s="5">
        <v>86</v>
      </c>
      <c r="C94" s="27">
        <f t="shared" si="16"/>
        <v>43524</v>
      </c>
      <c r="D94" s="6"/>
      <c r="E94" s="7">
        <v>1.0081138610839844</v>
      </c>
      <c r="F94" s="8" t="e">
        <f t="shared" si="10"/>
        <v>#N/A</v>
      </c>
      <c r="G94" s="9" t="e">
        <f t="shared" si="13"/>
        <v>#N/A</v>
      </c>
      <c r="H94" s="10">
        <f t="shared" ca="1" si="11"/>
        <v>8520.914295426117</v>
      </c>
      <c r="I94" s="10">
        <f t="shared" ca="1" si="12"/>
        <v>9713.2475411503292</v>
      </c>
      <c r="J94" s="5">
        <f t="shared" si="14"/>
        <v>2019</v>
      </c>
      <c r="K94" s="11">
        <f t="shared" ca="1" si="15"/>
        <v>9713.2475411503292</v>
      </c>
    </row>
    <row r="95" spans="2:11" ht="18.75" customHeight="1" x14ac:dyDescent="0.2">
      <c r="B95" s="5">
        <v>87</v>
      </c>
      <c r="C95" s="27">
        <f t="shared" si="16"/>
        <v>43555</v>
      </c>
      <c r="D95" s="6"/>
      <c r="E95" s="7">
        <v>0.95049607753753662</v>
      </c>
      <c r="F95" s="8" t="e">
        <f t="shared" si="10"/>
        <v>#N/A</v>
      </c>
      <c r="G95" s="9" t="e">
        <f t="shared" si="13"/>
        <v>#N/A</v>
      </c>
      <c r="H95" s="10">
        <f t="shared" ca="1" si="11"/>
        <v>8097.7864615088565</v>
      </c>
      <c r="I95" s="10">
        <f t="shared" ca="1" si="12"/>
        <v>9281.8507441473284</v>
      </c>
      <c r="J95" s="5">
        <f t="shared" si="14"/>
        <v>2019</v>
      </c>
      <c r="K95" s="11">
        <f t="shared" ca="1" si="15"/>
        <v>9281.8507441473284</v>
      </c>
    </row>
    <row r="96" spans="2:11" ht="18.75" customHeight="1" x14ac:dyDescent="0.2">
      <c r="B96" s="5">
        <v>88</v>
      </c>
      <c r="C96" s="27">
        <f t="shared" si="16"/>
        <v>43585</v>
      </c>
      <c r="D96" s="6"/>
      <c r="E96" s="7">
        <v>0.92450404167175293</v>
      </c>
      <c r="F96" s="8" t="e">
        <f t="shared" si="10"/>
        <v>#N/A</v>
      </c>
      <c r="G96" s="9" t="e">
        <f t="shared" si="13"/>
        <v>#N/A</v>
      </c>
      <c r="H96" s="10">
        <f t="shared" ca="1" si="11"/>
        <v>7938.4764628362664</v>
      </c>
      <c r="I96" s="10">
        <f t="shared" ca="1" si="12"/>
        <v>9150.0284934352367</v>
      </c>
      <c r="J96" s="5">
        <f t="shared" si="14"/>
        <v>2019</v>
      </c>
      <c r="K96" s="11">
        <f t="shared" ca="1" si="15"/>
        <v>9150.0284934352367</v>
      </c>
    </row>
    <row r="97" spans="2:11" ht="18.75" customHeight="1" x14ac:dyDescent="0.2">
      <c r="B97" s="5">
        <v>89</v>
      </c>
      <c r="C97" s="27">
        <f t="shared" si="16"/>
        <v>43616</v>
      </c>
      <c r="D97" s="6"/>
      <c r="E97" s="7">
        <v>0.9655645489692688</v>
      </c>
      <c r="F97" s="8" t="e">
        <f t="shared" si="10"/>
        <v>#N/A</v>
      </c>
      <c r="G97" s="9" t="e">
        <f t="shared" si="13"/>
        <v>#N/A</v>
      </c>
      <c r="H97" s="10">
        <f t="shared" ca="1" si="11"/>
        <v>8355.9419215444032</v>
      </c>
      <c r="I97" s="10">
        <f t="shared" ca="1" si="12"/>
        <v>9685.5508444145671</v>
      </c>
      <c r="J97" s="5">
        <f t="shared" si="14"/>
        <v>2019</v>
      </c>
      <c r="K97" s="11">
        <f t="shared" ca="1" si="15"/>
        <v>9685.5508444145671</v>
      </c>
    </row>
    <row r="98" spans="2:11" ht="18.75" customHeight="1" x14ac:dyDescent="0.2">
      <c r="B98" s="5">
        <v>90</v>
      </c>
      <c r="C98" s="27">
        <f t="shared" si="16"/>
        <v>43646</v>
      </c>
      <c r="D98" s="6"/>
      <c r="E98" s="7">
        <v>0.94636422395706177</v>
      </c>
      <c r="F98" s="8" t="e">
        <f t="shared" si="10"/>
        <v>#N/A</v>
      </c>
      <c r="G98" s="9" t="e">
        <f t="shared" si="13"/>
        <v>#N/A</v>
      </c>
      <c r="H98" s="10">
        <f t="shared" ca="1" si="11"/>
        <v>8253.3825735242735</v>
      </c>
      <c r="I98" s="10">
        <f t="shared" ca="1" si="12"/>
        <v>9621.2324643090469</v>
      </c>
      <c r="J98" s="5">
        <f t="shared" si="14"/>
        <v>2019</v>
      </c>
      <c r="K98" s="11">
        <f t="shared" ca="1" si="15"/>
        <v>9621.2324643090469</v>
      </c>
    </row>
    <row r="99" spans="2:11" ht="18.75" customHeight="1" x14ac:dyDescent="0.2">
      <c r="B99" s="5">
        <v>91</v>
      </c>
      <c r="C99" s="27">
        <f t="shared" si="16"/>
        <v>43677</v>
      </c>
      <c r="D99" s="6"/>
      <c r="E99" s="7">
        <v>0.92973947525024414</v>
      </c>
      <c r="F99" s="8" t="e">
        <f t="shared" si="10"/>
        <v>#N/A</v>
      </c>
      <c r="G99" s="9" t="e">
        <f t="shared" si="13"/>
        <v>#N/A</v>
      </c>
      <c r="H99" s="10">
        <f t="shared" ca="1" si="11"/>
        <v>8170.877629707772</v>
      </c>
      <c r="I99" s="10">
        <f t="shared" ca="1" si="12"/>
        <v>9579.9456598607885</v>
      </c>
      <c r="J99" s="5">
        <f t="shared" si="14"/>
        <v>2019</v>
      </c>
      <c r="K99" s="11">
        <f t="shared" ca="1" si="15"/>
        <v>9579.9456598607885</v>
      </c>
    </row>
    <row r="100" spans="2:11" ht="18.75" customHeight="1" x14ac:dyDescent="0.2">
      <c r="B100" s="5">
        <v>92</v>
      </c>
      <c r="C100" s="27">
        <f t="shared" si="16"/>
        <v>43708</v>
      </c>
      <c r="D100" s="6"/>
      <c r="E100" s="7">
        <v>0.93261557817459106</v>
      </c>
      <c r="F100" s="8" t="e">
        <f t="shared" si="10"/>
        <v>#N/A</v>
      </c>
      <c r="G100" s="9" t="e">
        <f t="shared" si="13"/>
        <v>#N/A</v>
      </c>
      <c r="H100" s="10">
        <f t="shared" ca="1" si="11"/>
        <v>8258.8290710878318</v>
      </c>
      <c r="I100" s="10">
        <f t="shared" ca="1" si="12"/>
        <v>9739.4362939329349</v>
      </c>
      <c r="J100" s="5">
        <f t="shared" si="14"/>
        <v>2019</v>
      </c>
      <c r="K100" s="11">
        <f t="shared" ca="1" si="15"/>
        <v>9739.4362939329349</v>
      </c>
    </row>
    <row r="101" spans="2:11" ht="18.75" customHeight="1" x14ac:dyDescent="0.2">
      <c r="B101" s="5">
        <v>93</v>
      </c>
      <c r="C101" s="27">
        <f t="shared" si="16"/>
        <v>43738</v>
      </c>
      <c r="D101" s="6"/>
      <c r="E101" s="7">
        <v>0.99968302249908447</v>
      </c>
      <c r="F101" s="8" t="e">
        <f t="shared" si="10"/>
        <v>#N/A</v>
      </c>
      <c r="G101" s="9" t="e">
        <f t="shared" si="13"/>
        <v>#N/A</v>
      </c>
      <c r="H101" s="10">
        <f t="shared" ca="1" si="11"/>
        <v>8919.9309694982876</v>
      </c>
      <c r="I101" s="10">
        <f t="shared" ca="1" si="12"/>
        <v>10580.905925394834</v>
      </c>
      <c r="J101" s="5">
        <f t="shared" si="14"/>
        <v>2019</v>
      </c>
      <c r="K101" s="11">
        <f t="shared" ca="1" si="15"/>
        <v>10580.905925394834</v>
      </c>
    </row>
    <row r="102" spans="2:11" ht="18.75" customHeight="1" x14ac:dyDescent="0.2">
      <c r="B102" s="5">
        <v>94</v>
      </c>
      <c r="C102" s="27">
        <f t="shared" si="16"/>
        <v>43769</v>
      </c>
      <c r="D102" s="6"/>
      <c r="E102" s="7">
        <v>1.0533924102783203</v>
      </c>
      <c r="F102" s="8" t="e">
        <f t="shared" si="10"/>
        <v>#N/A</v>
      </c>
      <c r="G102" s="9" t="e">
        <f t="shared" si="13"/>
        <v>#N/A</v>
      </c>
      <c r="H102" s="10">
        <f t="shared" ca="1" si="11"/>
        <v>9469.9587973670459</v>
      </c>
      <c r="I102" s="10">
        <f t="shared" ca="1" si="12"/>
        <v>11300.043160165129</v>
      </c>
      <c r="J102" s="5">
        <f t="shared" si="14"/>
        <v>2019</v>
      </c>
      <c r="K102" s="11">
        <f t="shared" ca="1" si="15"/>
        <v>11300.043160165129</v>
      </c>
    </row>
    <row r="103" spans="2:11" ht="18.75" customHeight="1" x14ac:dyDescent="0.2">
      <c r="B103" s="5">
        <v>95</v>
      </c>
      <c r="C103" s="27">
        <f t="shared" si="16"/>
        <v>43799</v>
      </c>
      <c r="D103" s="6"/>
      <c r="E103" s="7">
        <v>1.034953236579895</v>
      </c>
      <c r="F103" s="8" t="e">
        <f t="shared" si="10"/>
        <v>#N/A</v>
      </c>
      <c r="G103" s="9" t="e">
        <f t="shared" si="13"/>
        <v>#N/A</v>
      </c>
      <c r="H103" s="10">
        <f t="shared" ca="1" si="11"/>
        <v>9373.7440163616156</v>
      </c>
      <c r="I103" s="10">
        <f t="shared" ca="1" si="12"/>
        <v>11252.266906763274</v>
      </c>
      <c r="J103" s="5">
        <f t="shared" si="14"/>
        <v>2019</v>
      </c>
      <c r="K103" s="11" t="e">
        <f t="shared" si="15"/>
        <v>#N/A</v>
      </c>
    </row>
    <row r="104" spans="2:11" ht="18.75" customHeight="1" x14ac:dyDescent="0.2">
      <c r="B104" s="5">
        <v>96</v>
      </c>
      <c r="C104" s="27">
        <f t="shared" si="16"/>
        <v>43830</v>
      </c>
      <c r="D104" s="6"/>
      <c r="E104" s="7">
        <v>1.1505850553512573</v>
      </c>
      <c r="F104" s="8" t="e">
        <f t="shared" si="10"/>
        <v>#N/A</v>
      </c>
      <c r="G104" s="9" t="e">
        <f t="shared" si="13"/>
        <v>#N/A</v>
      </c>
      <c r="H104" s="10">
        <f t="shared" ca="1" si="11"/>
        <v>10498.364274536723</v>
      </c>
      <c r="I104" s="10">
        <f t="shared" ca="1" si="12"/>
        <v>12678.486360921383</v>
      </c>
      <c r="J104" s="5" t="str">
        <f t="shared" si="14"/>
        <v/>
      </c>
      <c r="K104" s="11" t="e">
        <f t="shared" si="15"/>
        <v>#N/A</v>
      </c>
    </row>
    <row r="105" spans="2:11" ht="18.75" customHeight="1" x14ac:dyDescent="0.2">
      <c r="B105" s="5">
        <v>97</v>
      </c>
      <c r="C105" s="27">
        <f t="shared" si="16"/>
        <v>43861</v>
      </c>
      <c r="D105" s="6"/>
      <c r="E105" s="7">
        <v>1.1022505760192871</v>
      </c>
      <c r="F105" s="8" t="e">
        <f t="shared" ref="F105:F128" si="17">IF(D105&gt;0,D105/E105,NA())</f>
        <v>#N/A</v>
      </c>
      <c r="G105" s="9" t="e">
        <f t="shared" si="13"/>
        <v>#N/A</v>
      </c>
      <c r="H105" s="10">
        <f t="shared" ref="H105:H128" ca="1" si="18">IF(D105="",$S$5+$R$5*B105,NA())*E105</f>
        <v>10131.417919786387</v>
      </c>
      <c r="I105" s="10">
        <f t="shared" ref="I105:I128" ca="1" si="19">IF(D105="",$S$6*EXP(($R$6-1)*B105),NA())*E105</f>
        <v>12310.009675240522</v>
      </c>
      <c r="J105" s="5" t="str">
        <f t="shared" si="14"/>
        <v/>
      </c>
      <c r="K105" s="11" t="e">
        <f t="shared" si="15"/>
        <v>#N/A</v>
      </c>
    </row>
    <row r="106" spans="2:11" ht="18.75" customHeight="1" x14ac:dyDescent="0.2">
      <c r="B106" s="5">
        <v>98</v>
      </c>
      <c r="C106" s="27">
        <f t="shared" si="16"/>
        <v>43890</v>
      </c>
      <c r="D106" s="6"/>
      <c r="E106" s="7">
        <v>1.0081138610839844</v>
      </c>
      <c r="F106" s="8" t="e">
        <f t="shared" si="17"/>
        <v>#N/A</v>
      </c>
      <c r="G106" s="9" t="e">
        <f t="shared" si="13"/>
        <v>#N/A</v>
      </c>
      <c r="H106" s="10">
        <f t="shared" ca="1" si="18"/>
        <v>9333.902325122257</v>
      </c>
      <c r="I106" s="10">
        <f t="shared" ca="1" si="19"/>
        <v>11410.824522540708</v>
      </c>
      <c r="J106" s="5">
        <f t="shared" si="14"/>
        <v>2020</v>
      </c>
      <c r="K106" s="11" t="e">
        <f t="shared" si="15"/>
        <v>#N/A</v>
      </c>
    </row>
    <row r="107" spans="2:11" ht="18.75" customHeight="1" x14ac:dyDescent="0.2">
      <c r="B107" s="5">
        <v>99</v>
      </c>
      <c r="C107" s="27">
        <f t="shared" si="16"/>
        <v>43921</v>
      </c>
      <c r="D107" s="6"/>
      <c r="E107" s="7">
        <v>0.95049607753753662</v>
      </c>
      <c r="F107" s="8" t="e">
        <f t="shared" si="17"/>
        <v>#N/A</v>
      </c>
      <c r="G107" s="9" t="e">
        <f t="shared" si="13"/>
        <v>#N/A</v>
      </c>
      <c r="H107" s="10">
        <f t="shared" ca="1" si="18"/>
        <v>8864.3089379285848</v>
      </c>
      <c r="I107" s="10">
        <f t="shared" ca="1" si="19"/>
        <v>10904.032831159146</v>
      </c>
      <c r="J107" s="5">
        <f t="shared" si="14"/>
        <v>2020</v>
      </c>
      <c r="K107" s="11" t="e">
        <f t="shared" si="15"/>
        <v>#N/A</v>
      </c>
    </row>
    <row r="108" spans="2:11" ht="18.75" customHeight="1" x14ac:dyDescent="0.2">
      <c r="B108" s="5">
        <v>100</v>
      </c>
      <c r="C108" s="27">
        <f t="shared" si="16"/>
        <v>43951</v>
      </c>
      <c r="D108" s="6"/>
      <c r="E108" s="7">
        <v>0.92450404167175293</v>
      </c>
      <c r="F108" s="8" t="e">
        <f t="shared" si="17"/>
        <v>#N/A</v>
      </c>
      <c r="G108" s="9" t="e">
        <f t="shared" si="13"/>
        <v>#N/A</v>
      </c>
      <c r="H108" s="10">
        <f t="shared" ca="1" si="18"/>
        <v>8684.0378009937067</v>
      </c>
      <c r="I108" s="10">
        <f t="shared" ca="1" si="19"/>
        <v>10749.172104644202</v>
      </c>
      <c r="J108" s="5">
        <f t="shared" si="14"/>
        <v>2020</v>
      </c>
      <c r="K108" s="11" t="e">
        <f t="shared" si="15"/>
        <v>#N/A</v>
      </c>
    </row>
    <row r="109" spans="2:11" ht="18.75" customHeight="1" x14ac:dyDescent="0.2">
      <c r="B109" s="5">
        <v>101</v>
      </c>
      <c r="C109" s="27">
        <f t="shared" si="16"/>
        <v>43982</v>
      </c>
      <c r="D109" s="6"/>
      <c r="E109" s="7">
        <v>0.9655645489692688</v>
      </c>
      <c r="F109" s="8" t="e">
        <f t="shared" si="17"/>
        <v>#N/A</v>
      </c>
      <c r="G109" s="9" t="e">
        <f t="shared" si="13"/>
        <v>#N/A</v>
      </c>
      <c r="H109" s="10">
        <f t="shared" ca="1" si="18"/>
        <v>9134.6162861314515</v>
      </c>
      <c r="I109" s="10">
        <f t="shared" ca="1" si="19"/>
        <v>11378.287294907324</v>
      </c>
      <c r="J109" s="5">
        <f t="shared" si="14"/>
        <v>2020</v>
      </c>
      <c r="K109" s="11" t="e">
        <f t="shared" si="15"/>
        <v>#N/A</v>
      </c>
    </row>
    <row r="110" spans="2:11" ht="18.75" customHeight="1" x14ac:dyDescent="0.2">
      <c r="B110" s="5">
        <v>102</v>
      </c>
      <c r="C110" s="27">
        <f t="shared" si="16"/>
        <v>44012</v>
      </c>
      <c r="D110" s="6"/>
      <c r="E110" s="7">
        <v>0.94636422395706177</v>
      </c>
      <c r="F110" s="8" t="e">
        <f t="shared" si="17"/>
        <v>#N/A</v>
      </c>
      <c r="G110" s="9" t="e">
        <f t="shared" si="13"/>
        <v>#N/A</v>
      </c>
      <c r="H110" s="10">
        <f t="shared" ca="1" si="18"/>
        <v>9016.5729387301271</v>
      </c>
      <c r="I110" s="10">
        <f t="shared" ca="1" si="19"/>
        <v>11302.728039792197</v>
      </c>
      <c r="J110" s="5">
        <f t="shared" si="14"/>
        <v>2020</v>
      </c>
      <c r="K110" s="11" t="e">
        <f t="shared" si="15"/>
        <v>#N/A</v>
      </c>
    </row>
    <row r="111" spans="2:11" ht="18.75" customHeight="1" x14ac:dyDescent="0.2">
      <c r="B111" s="5">
        <v>103</v>
      </c>
      <c r="C111" s="27">
        <f t="shared" si="16"/>
        <v>44043</v>
      </c>
      <c r="D111" s="6"/>
      <c r="E111" s="7">
        <v>0.92973947525024414</v>
      </c>
      <c r="F111" s="8" t="e">
        <f t="shared" si="17"/>
        <v>#N/A</v>
      </c>
      <c r="G111" s="9" t="e">
        <f t="shared" si="13"/>
        <v>#N/A</v>
      </c>
      <c r="H111" s="10">
        <f t="shared" ca="1" si="18"/>
        <v>8920.6610552641541</v>
      </c>
      <c r="I111" s="10">
        <f t="shared" ca="1" si="19"/>
        <v>11254.225571522997</v>
      </c>
      <c r="J111" s="5">
        <f t="shared" si="14"/>
        <v>2020</v>
      </c>
      <c r="K111" s="11" t="e">
        <f t="shared" si="15"/>
        <v>#N/A</v>
      </c>
    </row>
    <row r="112" spans="2:11" ht="18.75" customHeight="1" x14ac:dyDescent="0.2">
      <c r="B112" s="5">
        <v>104</v>
      </c>
      <c r="C112" s="27">
        <f t="shared" si="16"/>
        <v>44074</v>
      </c>
      <c r="D112" s="6"/>
      <c r="E112" s="7">
        <v>0.93261557817459106</v>
      </c>
      <c r="F112" s="8" t="e">
        <f t="shared" si="17"/>
        <v>#N/A</v>
      </c>
      <c r="G112" s="9" t="e">
        <f t="shared" si="13"/>
        <v>#N/A</v>
      </c>
      <c r="H112" s="10">
        <f t="shared" ca="1" si="18"/>
        <v>9010.9319144599267</v>
      </c>
      <c r="I112" s="10">
        <f t="shared" ca="1" si="19"/>
        <v>11441.590263988199</v>
      </c>
      <c r="J112" s="5">
        <f t="shared" si="14"/>
        <v>2020</v>
      </c>
      <c r="K112" s="11" t="e">
        <f t="shared" si="15"/>
        <v>#N/A</v>
      </c>
    </row>
    <row r="113" spans="2:11" ht="18.75" customHeight="1" x14ac:dyDescent="0.2">
      <c r="B113" s="5">
        <v>105</v>
      </c>
      <c r="C113" s="27">
        <f t="shared" si="16"/>
        <v>44104</v>
      </c>
      <c r="D113" s="6"/>
      <c r="E113" s="7">
        <v>0.99968302249908447</v>
      </c>
      <c r="F113" s="8" t="e">
        <f t="shared" si="17"/>
        <v>#N/A</v>
      </c>
      <c r="G113" s="9" t="e">
        <f t="shared" si="13"/>
        <v>#N/A</v>
      </c>
      <c r="H113" s="10">
        <f t="shared" ca="1" si="18"/>
        <v>9726.1199945240096</v>
      </c>
      <c r="I113" s="10">
        <f t="shared" ca="1" si="19"/>
        <v>12430.122911280498</v>
      </c>
      <c r="J113" s="5">
        <f t="shared" si="14"/>
        <v>2020</v>
      </c>
      <c r="K113" s="11" t="e">
        <f t="shared" si="15"/>
        <v>#N/A</v>
      </c>
    </row>
    <row r="114" spans="2:11" ht="18.75" customHeight="1" x14ac:dyDescent="0.2">
      <c r="B114" s="5">
        <v>106</v>
      </c>
      <c r="C114" s="27">
        <f t="shared" si="16"/>
        <v>44135</v>
      </c>
      <c r="D114" s="6"/>
      <c r="E114" s="7">
        <v>1.0533924102783203</v>
      </c>
      <c r="F114" s="8" t="e">
        <f t="shared" si="17"/>
        <v>#N/A</v>
      </c>
      <c r="G114" s="9" t="e">
        <f t="shared" si="13"/>
        <v>#N/A</v>
      </c>
      <c r="H114" s="10">
        <f t="shared" ca="1" si="18"/>
        <v>10319.461470813272</v>
      </c>
      <c r="I114" s="10">
        <f t="shared" ca="1" si="19"/>
        <v>13274.943220741812</v>
      </c>
      <c r="J114" s="5">
        <f t="shared" si="14"/>
        <v>2020</v>
      </c>
      <c r="K114" s="11" t="e">
        <f t="shared" si="15"/>
        <v>#N/A</v>
      </c>
    </row>
    <row r="115" spans="2:11" ht="18.75" customHeight="1" x14ac:dyDescent="0.2">
      <c r="B115" s="5">
        <v>107</v>
      </c>
      <c r="C115" s="27">
        <f t="shared" si="16"/>
        <v>44165</v>
      </c>
      <c r="D115" s="6"/>
      <c r="E115" s="7">
        <v>1.034953236579895</v>
      </c>
      <c r="F115" s="8" t="e">
        <f t="shared" si="17"/>
        <v>#N/A</v>
      </c>
      <c r="G115" s="9" t="e">
        <f t="shared" si="13"/>
        <v>#N/A</v>
      </c>
      <c r="H115" s="10">
        <f t="shared" ca="1" si="18"/>
        <v>10208.376516831357</v>
      </c>
      <c r="I115" s="10">
        <f t="shared" ca="1" si="19"/>
        <v>13218.817147396783</v>
      </c>
      <c r="J115" s="5">
        <f t="shared" si="14"/>
        <v>2020</v>
      </c>
      <c r="K115" s="11" t="e">
        <f t="shared" si="15"/>
        <v>#N/A</v>
      </c>
    </row>
    <row r="116" spans="2:11" ht="18.75" customHeight="1" x14ac:dyDescent="0.2">
      <c r="B116" s="5">
        <v>108</v>
      </c>
      <c r="C116" s="27">
        <f t="shared" si="16"/>
        <v>44196</v>
      </c>
      <c r="D116" s="6"/>
      <c r="E116" s="7">
        <v>1.1505850553512573</v>
      </c>
      <c r="F116" s="8" t="e">
        <f t="shared" si="17"/>
        <v>#N/A</v>
      </c>
      <c r="G116" s="9" t="e">
        <f t="shared" si="13"/>
        <v>#N/A</v>
      </c>
      <c r="H116" s="10">
        <f t="shared" ca="1" si="18"/>
        <v>11426.247436605376</v>
      </c>
      <c r="I116" s="10">
        <f t="shared" ca="1" si="19"/>
        <v>14894.295904947796</v>
      </c>
      <c r="J116" s="5" t="str">
        <f t="shared" si="14"/>
        <v/>
      </c>
      <c r="K116" s="11" t="e">
        <f t="shared" si="15"/>
        <v>#N/A</v>
      </c>
    </row>
    <row r="117" spans="2:11" ht="18.75" customHeight="1" x14ac:dyDescent="0.2">
      <c r="B117" s="5">
        <v>109</v>
      </c>
      <c r="C117" s="27">
        <f t="shared" si="16"/>
        <v>44227</v>
      </c>
      <c r="D117" s="6"/>
      <c r="E117" s="7">
        <v>1.1022505760192871</v>
      </c>
      <c r="F117" s="8" t="e">
        <f t="shared" si="17"/>
        <v>#N/A</v>
      </c>
      <c r="G117" s="9" t="e">
        <f t="shared" si="13"/>
        <v>#N/A</v>
      </c>
      <c r="H117" s="10">
        <f t="shared" ca="1" si="18"/>
        <v>11020.321999595188</v>
      </c>
      <c r="I117" s="10">
        <f t="shared" ca="1" si="19"/>
        <v>14461.420825512341</v>
      </c>
      <c r="J117" s="5" t="str">
        <f t="shared" si="14"/>
        <v/>
      </c>
      <c r="K117" s="11" t="e">
        <f t="shared" si="15"/>
        <v>#N/A</v>
      </c>
    </row>
    <row r="118" spans="2:11" ht="18.75" customHeight="1" x14ac:dyDescent="0.2">
      <c r="B118" s="5">
        <v>110</v>
      </c>
      <c r="C118" s="27">
        <f t="shared" si="16"/>
        <v>44255</v>
      </c>
      <c r="D118" s="6"/>
      <c r="E118" s="7">
        <v>1.0081138610839844</v>
      </c>
      <c r="F118" s="8" t="e">
        <f t="shared" si="17"/>
        <v>#N/A</v>
      </c>
      <c r="G118" s="9" t="e">
        <f t="shared" si="13"/>
        <v>#N/A</v>
      </c>
      <c r="H118" s="10">
        <f t="shared" ca="1" si="18"/>
        <v>10146.890354818395</v>
      </c>
      <c r="I118" s="10">
        <f t="shared" ca="1" si="19"/>
        <v>13405.085758660289</v>
      </c>
      <c r="J118" s="5">
        <f t="shared" si="14"/>
        <v>2021</v>
      </c>
      <c r="K118" s="11" t="e">
        <f t="shared" si="15"/>
        <v>#N/A</v>
      </c>
    </row>
    <row r="119" spans="2:11" ht="18.75" customHeight="1" x14ac:dyDescent="0.2">
      <c r="B119" s="5">
        <v>111</v>
      </c>
      <c r="C119" s="27">
        <f t="shared" si="16"/>
        <v>44286</v>
      </c>
      <c r="D119" s="6"/>
      <c r="E119" s="7">
        <v>0.95049607753753662</v>
      </c>
      <c r="F119" s="8" t="e">
        <f t="shared" si="17"/>
        <v>#N/A</v>
      </c>
      <c r="G119" s="9" t="e">
        <f t="shared" si="13"/>
        <v>#N/A</v>
      </c>
      <c r="H119" s="10">
        <f t="shared" ca="1" si="18"/>
        <v>9630.8314143483185</v>
      </c>
      <c r="I119" s="10">
        <f t="shared" ca="1" si="19"/>
        <v>12809.722463805791</v>
      </c>
      <c r="J119" s="5">
        <f t="shared" si="14"/>
        <v>2021</v>
      </c>
      <c r="K119" s="11" t="e">
        <f t="shared" si="15"/>
        <v>#N/A</v>
      </c>
    </row>
    <row r="120" spans="2:11" ht="18.75" customHeight="1" x14ac:dyDescent="0.2">
      <c r="B120" s="5">
        <v>112</v>
      </c>
      <c r="C120" s="27">
        <f t="shared" si="16"/>
        <v>44316</v>
      </c>
      <c r="D120" s="6"/>
      <c r="E120" s="7">
        <v>0.92450404167175293</v>
      </c>
      <c r="F120" s="8" t="e">
        <f t="shared" si="17"/>
        <v>#N/A</v>
      </c>
      <c r="G120" s="9" t="e">
        <f t="shared" si="13"/>
        <v>#N/A</v>
      </c>
      <c r="H120" s="10">
        <f t="shared" ca="1" si="18"/>
        <v>9429.5991391511434</v>
      </c>
      <c r="I120" s="10">
        <f t="shared" ca="1" si="19"/>
        <v>12627.796844366061</v>
      </c>
      <c r="J120" s="5">
        <f t="shared" si="14"/>
        <v>2021</v>
      </c>
      <c r="K120" s="11" t="e">
        <f t="shared" si="15"/>
        <v>#N/A</v>
      </c>
    </row>
    <row r="121" spans="2:11" ht="18.75" customHeight="1" x14ac:dyDescent="0.2">
      <c r="B121" s="5">
        <v>113</v>
      </c>
      <c r="C121" s="27">
        <f t="shared" si="16"/>
        <v>44347</v>
      </c>
      <c r="D121" s="6"/>
      <c r="E121" s="7">
        <v>0.9655645489692688</v>
      </c>
      <c r="F121" s="8" t="e">
        <f t="shared" si="17"/>
        <v>#N/A</v>
      </c>
      <c r="G121" s="9" t="e">
        <f t="shared" si="13"/>
        <v>#N/A</v>
      </c>
      <c r="H121" s="10">
        <f t="shared" ca="1" si="18"/>
        <v>9913.2906507184998</v>
      </c>
      <c r="I121" s="10">
        <f t="shared" ca="1" si="19"/>
        <v>13366.862024177917</v>
      </c>
      <c r="J121" s="5">
        <f t="shared" si="14"/>
        <v>2021</v>
      </c>
      <c r="K121" s="11" t="e">
        <f t="shared" si="15"/>
        <v>#N/A</v>
      </c>
    </row>
    <row r="122" spans="2:11" ht="18.75" customHeight="1" x14ac:dyDescent="0.2">
      <c r="B122" s="5">
        <v>114</v>
      </c>
      <c r="C122" s="27">
        <f t="shared" si="16"/>
        <v>44377</v>
      </c>
      <c r="D122" s="6"/>
      <c r="E122" s="7">
        <v>0.94636422395706177</v>
      </c>
      <c r="F122" s="8" t="e">
        <f t="shared" si="17"/>
        <v>#N/A</v>
      </c>
      <c r="G122" s="9" t="e">
        <f t="shared" si="13"/>
        <v>#N/A</v>
      </c>
      <c r="H122" s="10">
        <f t="shared" ca="1" si="18"/>
        <v>9779.7633039359807</v>
      </c>
      <c r="I122" s="10">
        <f t="shared" ca="1" si="19"/>
        <v>13278.09733476586</v>
      </c>
      <c r="J122" s="5">
        <f t="shared" si="14"/>
        <v>2021</v>
      </c>
      <c r="K122" s="11" t="e">
        <f t="shared" si="15"/>
        <v>#N/A</v>
      </c>
    </row>
    <row r="123" spans="2:11" ht="18.75" customHeight="1" x14ac:dyDescent="0.2">
      <c r="B123" s="5">
        <v>115</v>
      </c>
      <c r="C123" s="27">
        <f t="shared" si="16"/>
        <v>44408</v>
      </c>
      <c r="D123" s="6"/>
      <c r="E123" s="7">
        <v>0.92973947525024414</v>
      </c>
      <c r="F123" s="8" t="e">
        <f t="shared" si="17"/>
        <v>#N/A</v>
      </c>
      <c r="G123" s="9" t="e">
        <f t="shared" si="13"/>
        <v>#N/A</v>
      </c>
      <c r="H123" s="10">
        <f t="shared" ca="1" si="18"/>
        <v>9670.4444808205335</v>
      </c>
      <c r="I123" s="10">
        <f t="shared" ca="1" si="19"/>
        <v>13221.118126526268</v>
      </c>
      <c r="J123" s="5">
        <f t="shared" si="14"/>
        <v>2021</v>
      </c>
      <c r="K123" s="11" t="e">
        <f t="shared" si="15"/>
        <v>#N/A</v>
      </c>
    </row>
    <row r="124" spans="2:11" ht="18.75" customHeight="1" x14ac:dyDescent="0.2">
      <c r="B124" s="5">
        <v>116</v>
      </c>
      <c r="C124" s="27">
        <f t="shared" si="16"/>
        <v>44439</v>
      </c>
      <c r="D124" s="6"/>
      <c r="E124" s="7">
        <v>0.93261557817459106</v>
      </c>
      <c r="F124" s="8" t="e">
        <f t="shared" si="17"/>
        <v>#N/A</v>
      </c>
      <c r="G124" s="9" t="e">
        <f t="shared" si="13"/>
        <v>#N/A</v>
      </c>
      <c r="H124" s="10">
        <f t="shared" ca="1" si="18"/>
        <v>9763.0347578320252</v>
      </c>
      <c r="I124" s="10">
        <f t="shared" ca="1" si="19"/>
        <v>13441.22840564585</v>
      </c>
      <c r="J124" s="5">
        <f t="shared" si="14"/>
        <v>2021</v>
      </c>
      <c r="K124" s="11" t="e">
        <f t="shared" si="15"/>
        <v>#N/A</v>
      </c>
    </row>
    <row r="125" spans="2:11" ht="18.75" customHeight="1" x14ac:dyDescent="0.2">
      <c r="B125" s="5">
        <v>117</v>
      </c>
      <c r="C125" s="27">
        <f t="shared" si="16"/>
        <v>44469</v>
      </c>
      <c r="D125" s="6"/>
      <c r="E125" s="7">
        <v>0.99968302249908447</v>
      </c>
      <c r="F125" s="8" t="e">
        <f t="shared" si="17"/>
        <v>#N/A</v>
      </c>
      <c r="G125" s="9" t="e">
        <f t="shared" si="13"/>
        <v>#N/A</v>
      </c>
      <c r="H125" s="10">
        <f t="shared" ca="1" si="18"/>
        <v>10532.309019549732</v>
      </c>
      <c r="I125" s="10">
        <f t="shared" ca="1" si="19"/>
        <v>14602.526161650447</v>
      </c>
      <c r="J125" s="5">
        <f t="shared" si="14"/>
        <v>2021</v>
      </c>
      <c r="K125" s="11" t="e">
        <f t="shared" si="15"/>
        <v>#N/A</v>
      </c>
    </row>
    <row r="126" spans="2:11" ht="18.75" customHeight="1" x14ac:dyDescent="0.2">
      <c r="B126" s="5">
        <v>118</v>
      </c>
      <c r="C126" s="27">
        <f t="shared" si="16"/>
        <v>44500</v>
      </c>
      <c r="D126" s="6"/>
      <c r="E126" s="7">
        <v>1.0533924102783203</v>
      </c>
      <c r="F126" s="8" t="e">
        <f t="shared" si="17"/>
        <v>#N/A</v>
      </c>
      <c r="G126" s="9" t="e">
        <f t="shared" si="13"/>
        <v>#N/A</v>
      </c>
      <c r="H126" s="10">
        <f t="shared" ca="1" si="18"/>
        <v>11168.964144259495</v>
      </c>
      <c r="I126" s="10">
        <f t="shared" ca="1" si="19"/>
        <v>15594.99508242089</v>
      </c>
      <c r="J126" s="5">
        <f t="shared" si="14"/>
        <v>2021</v>
      </c>
      <c r="K126" s="11" t="e">
        <f t="shared" si="15"/>
        <v>#N/A</v>
      </c>
    </row>
    <row r="127" spans="2:11" ht="18.75" customHeight="1" x14ac:dyDescent="0.2">
      <c r="B127" s="5">
        <v>119</v>
      </c>
      <c r="C127" s="27">
        <f t="shared" si="16"/>
        <v>44530</v>
      </c>
      <c r="D127" s="6"/>
      <c r="E127" s="7">
        <v>1.034953236579895</v>
      </c>
      <c r="F127" s="8" t="e">
        <f t="shared" si="17"/>
        <v>#N/A</v>
      </c>
      <c r="G127" s="9" t="e">
        <f t="shared" si="13"/>
        <v>#N/A</v>
      </c>
      <c r="H127" s="10">
        <f t="shared" ca="1" si="18"/>
        <v>11043.009017301101</v>
      </c>
      <c r="I127" s="10">
        <f t="shared" ca="1" si="19"/>
        <v>15529.059897369123</v>
      </c>
      <c r="J127" s="5">
        <f t="shared" si="14"/>
        <v>2021</v>
      </c>
      <c r="K127" s="11" t="e">
        <f t="shared" si="15"/>
        <v>#N/A</v>
      </c>
    </row>
    <row r="128" spans="2:11" ht="18.75" customHeight="1" x14ac:dyDescent="0.2">
      <c r="B128" s="5">
        <v>120</v>
      </c>
      <c r="C128" s="27">
        <f t="shared" si="16"/>
        <v>44561</v>
      </c>
      <c r="D128" s="6"/>
      <c r="E128" s="7">
        <v>1.1505850553512573</v>
      </c>
      <c r="F128" s="8" t="e">
        <f t="shared" si="17"/>
        <v>#N/A</v>
      </c>
      <c r="G128" s="9" t="e">
        <f t="shared" si="13"/>
        <v>#N/A</v>
      </c>
      <c r="H128" s="10">
        <f t="shared" ca="1" si="18"/>
        <v>12354.130598674026</v>
      </c>
      <c r="I128" s="10">
        <f t="shared" ca="1" si="19"/>
        <v>17497.360819657253</v>
      </c>
      <c r="J128" s="5" t="str">
        <f t="shared" si="14"/>
        <v/>
      </c>
      <c r="K128" s="11" t="e">
        <f t="shared" si="15"/>
        <v>#N/A</v>
      </c>
    </row>
  </sheetData>
  <protectedRanges>
    <protectedRange sqref="B2" name="标题"/>
    <protectedRange sqref="C9 C4:C6 D9:E128" name="允许编辑区域"/>
  </protectedRanges>
  <phoneticPr fontId="8" type="noConversion"/>
  <dataValidations count="1">
    <dataValidation type="list" allowBlank="1" showInputMessage="1" showErrorMessage="1" sqref="C6" xr:uid="{E90D35C4-0619-4CDA-A1D1-AB15CD24AB4B}">
      <formula1>"线性模型,指数模型"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Generate_Seasonals">
                <anchor moveWithCells="1" sizeWithCells="1">
                  <from>
                    <xdr:col>10</xdr:col>
                    <xdr:colOff>19050</xdr:colOff>
                    <xdr:row>3</xdr:row>
                    <xdr:rowOff>0</xdr:rowOff>
                  </from>
                  <to>
                    <xdr:col>10</xdr:col>
                    <xdr:colOff>838200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42C0-8E87-4E2A-9F76-4BE5F50EE3CF}">
  <dimension ref="B1:AS16"/>
  <sheetViews>
    <sheetView showGridLines="0" topLeftCell="AA1" workbookViewId="0">
      <selection activeCell="AQ18" sqref="AQ18"/>
    </sheetView>
  </sheetViews>
  <sheetFormatPr defaultRowHeight="14.25" outlineLevelCol="1" x14ac:dyDescent="0.2"/>
  <cols>
    <col min="1" max="1" width="1.875" customWidth="1"/>
    <col min="3" max="6" width="9" hidden="1" customWidth="1" outlineLevel="1"/>
    <col min="7" max="7" width="9" collapsed="1"/>
    <col min="8" max="8" width="1.875" customWidth="1"/>
    <col min="9" max="12" width="9" hidden="1" customWidth="1" outlineLevel="1"/>
    <col min="13" max="13" width="9" collapsed="1"/>
    <col min="15" max="15" width="1.875" customWidth="1"/>
    <col min="16" max="19" width="9" hidden="1" customWidth="1" outlineLevel="1"/>
    <col min="20" max="20" width="9" collapsed="1"/>
    <col min="22" max="22" width="1.875" customWidth="1"/>
    <col min="28" max="28" width="1.875" customWidth="1"/>
    <col min="34" max="34" width="1.875" customWidth="1"/>
    <col min="40" max="40" width="1.875" customWidth="1"/>
  </cols>
  <sheetData>
    <row r="1" spans="2:45" ht="15" thickBot="1" x14ac:dyDescent="0.25"/>
    <row r="2" spans="2:45" x14ac:dyDescent="0.2">
      <c r="B2" s="118" t="s">
        <v>40</v>
      </c>
      <c r="C2" s="115" t="s">
        <v>42</v>
      </c>
      <c r="D2" s="116"/>
      <c r="E2" s="116"/>
      <c r="F2" s="116"/>
      <c r="G2" s="117"/>
      <c r="H2" s="33"/>
      <c r="I2" s="120" t="s">
        <v>43</v>
      </c>
      <c r="J2" s="116"/>
      <c r="K2" s="116"/>
      <c r="L2" s="116"/>
      <c r="M2" s="124"/>
      <c r="N2" s="117"/>
      <c r="O2" s="33"/>
      <c r="P2" s="120" t="s">
        <v>47</v>
      </c>
      <c r="Q2" s="116"/>
      <c r="R2" s="116"/>
      <c r="S2" s="116"/>
      <c r="T2" s="124"/>
      <c r="U2" s="117"/>
      <c r="W2" s="121" t="s">
        <v>58</v>
      </c>
      <c r="X2" s="122"/>
      <c r="Y2" s="122"/>
      <c r="Z2" s="122"/>
      <c r="AA2" s="123"/>
      <c r="AC2" s="120" t="s">
        <v>46</v>
      </c>
      <c r="AD2" s="116"/>
      <c r="AE2" s="116"/>
      <c r="AF2" s="116"/>
      <c r="AG2" s="117"/>
      <c r="AI2" s="121" t="s">
        <v>48</v>
      </c>
      <c r="AJ2" s="122"/>
      <c r="AK2" s="122"/>
      <c r="AL2" s="122"/>
      <c r="AM2" s="123"/>
      <c r="AO2" s="120" t="s">
        <v>49</v>
      </c>
      <c r="AP2" s="116"/>
      <c r="AQ2" s="116"/>
      <c r="AR2" s="116"/>
      <c r="AS2" s="117"/>
    </row>
    <row r="3" spans="2:45" ht="15" thickBot="1" x14ac:dyDescent="0.25">
      <c r="B3" s="119"/>
      <c r="C3" s="34" t="s">
        <v>31</v>
      </c>
      <c r="D3" s="35" t="s">
        <v>33</v>
      </c>
      <c r="E3" s="35" t="s">
        <v>36</v>
      </c>
      <c r="F3" s="35" t="s">
        <v>35</v>
      </c>
      <c r="G3" s="36" t="s">
        <v>41</v>
      </c>
      <c r="H3" s="33"/>
      <c r="I3" s="42" t="s">
        <v>31</v>
      </c>
      <c r="J3" s="35" t="s">
        <v>33</v>
      </c>
      <c r="K3" s="35" t="s">
        <v>36</v>
      </c>
      <c r="L3" s="35" t="s">
        <v>35</v>
      </c>
      <c r="M3" s="41" t="s">
        <v>41</v>
      </c>
      <c r="N3" s="36" t="s">
        <v>44</v>
      </c>
      <c r="O3" s="33"/>
      <c r="P3" s="42" t="s">
        <v>31</v>
      </c>
      <c r="Q3" s="35" t="s">
        <v>33</v>
      </c>
      <c r="R3" s="35" t="s">
        <v>36</v>
      </c>
      <c r="S3" s="35" t="s">
        <v>35</v>
      </c>
      <c r="T3" s="41" t="s">
        <v>41</v>
      </c>
      <c r="U3" s="36" t="s">
        <v>44</v>
      </c>
      <c r="W3" s="43" t="s">
        <v>31</v>
      </c>
      <c r="X3" s="44" t="s">
        <v>33</v>
      </c>
      <c r="Y3" s="44" t="s">
        <v>36</v>
      </c>
      <c r="Z3" s="44" t="s">
        <v>35</v>
      </c>
      <c r="AA3" s="45" t="s">
        <v>41</v>
      </c>
      <c r="AC3" s="42" t="s">
        <v>31</v>
      </c>
      <c r="AD3" s="35" t="s">
        <v>33</v>
      </c>
      <c r="AE3" s="35" t="s">
        <v>36</v>
      </c>
      <c r="AF3" s="35" t="s">
        <v>35</v>
      </c>
      <c r="AG3" s="36" t="s">
        <v>41</v>
      </c>
      <c r="AI3" s="43" t="s">
        <v>31</v>
      </c>
      <c r="AJ3" s="44" t="s">
        <v>33</v>
      </c>
      <c r="AK3" s="44" t="s">
        <v>36</v>
      </c>
      <c r="AL3" s="44" t="s">
        <v>35</v>
      </c>
      <c r="AM3" s="45" t="s">
        <v>41</v>
      </c>
      <c r="AO3" s="42" t="s">
        <v>31</v>
      </c>
      <c r="AP3" s="35" t="s">
        <v>33</v>
      </c>
      <c r="AQ3" s="35" t="s">
        <v>36</v>
      </c>
      <c r="AR3" s="35" t="s">
        <v>35</v>
      </c>
      <c r="AS3" s="36" t="s">
        <v>41</v>
      </c>
    </row>
    <row r="4" spans="2:45" x14ac:dyDescent="0.2">
      <c r="B4" s="37">
        <v>1</v>
      </c>
      <c r="C4" s="46">
        <f>SUMIFS(销售数据!$C:$C,销售数据!$B:$B,汇总!C$3,销售数据!$A:$A,EOMONTH(DATE(2016,汇总!$B4,1),0))</f>
        <v>4545.3664625839183</v>
      </c>
      <c r="D4" s="47">
        <f>SUMIFS(销售数据!$C:$C,销售数据!$B:$B,汇总!D$3,销售数据!$A:$A,EOMONTH(DATE(2016,汇总!$B4,1),0))</f>
        <v>1628.2674457922299</v>
      </c>
      <c r="E4" s="47">
        <f>SUMIFS(销售数据!$C:$C,销售数据!$B:$B,汇总!E$3,销售数据!$A:$A,EOMONTH(DATE(2016,汇总!$B4,1),0))</f>
        <v>144.13317466309934</v>
      </c>
      <c r="F4" s="47">
        <f>SUMIFS(销售数据!$C:$C,销售数据!$B:$B,汇总!F$3,销售数据!$A:$A,EOMONTH(DATE(2016,汇总!$B4,1),0))</f>
        <v>323.83291696075378</v>
      </c>
      <c r="G4" s="54">
        <f t="shared" ref="G4:G16" si="0">SUM(C4:F4)</f>
        <v>6641.6000000000022</v>
      </c>
      <c r="H4" s="33"/>
      <c r="I4" s="46">
        <f>SUMIFS(销售数据!$C:$C,销售数据!$B:$B,汇总!I$3,销售数据!$A:$A,EOMONTH(DATE(2017,汇总!$B4,1),0))</f>
        <v>5124.8295112272872</v>
      </c>
      <c r="J4" s="47">
        <f>SUMIFS(销售数据!$C:$C,销售数据!$B:$B,汇总!J$3,销售数据!$A:$A,EOMONTH(DATE(2017,汇总!$B4,1),0))</f>
        <v>1835.8460482904652</v>
      </c>
      <c r="K4" s="47">
        <f>SUMIFS(销售数据!$C:$C,销售数据!$B:$B,汇总!K$3,销售数据!$A:$A,EOMONTH(DATE(2017,汇总!$B4,1),0))</f>
        <v>162.50789746893622</v>
      </c>
      <c r="L4" s="47">
        <f>SUMIFS(销售数据!$C:$C,销售数据!$B:$B,汇总!L$3,销售数据!$A:$A,EOMONTH(DATE(2017,汇总!$B4,1),0))</f>
        <v>365.11654301331197</v>
      </c>
      <c r="M4" s="58">
        <f t="shared" ref="M4:M13" si="1">SUM(I4:L4)</f>
        <v>7488.3000000000011</v>
      </c>
      <c r="N4" s="60">
        <f>M4/G4-1</f>
        <v>0.12748434112262075</v>
      </c>
      <c r="O4" s="33"/>
      <c r="P4" s="74">
        <f ca="1">I4+I4*$U4</f>
        <v>6104.4907724109853</v>
      </c>
      <c r="Q4" s="75">
        <f t="shared" ref="Q4:Q15" ca="1" si="2">J4+J4*$U4</f>
        <v>2186.7859675730956</v>
      </c>
      <c r="R4" s="75">
        <f t="shared" ref="R4:R15" ca="1" si="3">K4+K4*$U4</f>
        <v>193.57287074033067</v>
      </c>
      <c r="S4" s="75">
        <f t="shared" ref="S4:S15" ca="1" si="4">L4+L4*$U4</f>
        <v>434.91213957390738</v>
      </c>
      <c r="T4" s="76">
        <f ca="1">VLOOKUP(EOMONTH(DATE(2018,$B4,1),0),时间序列预测工具!$C:$K,9,0)</f>
        <v>8919.7617502983194</v>
      </c>
      <c r="U4" s="77">
        <f ca="1">T4/M4-1</f>
        <v>0.19115977595693523</v>
      </c>
      <c r="W4" s="94">
        <f ca="1">INDIRECT(W$3 &amp; "!J" &amp; ROW())</f>
        <v>0.11969018939951925</v>
      </c>
      <c r="X4" s="95">
        <f t="shared" ref="X4:Z16" ca="1" si="5">INDIRECT(X$3 &amp; "!J" &amp; ROW())</f>
        <v>0.14351338491865784</v>
      </c>
      <c r="Y4" s="95">
        <f t="shared" ca="1" si="5"/>
        <v>0.13160178715908843</v>
      </c>
      <c r="Z4" s="95">
        <f t="shared" ca="1" si="5"/>
        <v>0.14351338491865784</v>
      </c>
      <c r="AA4" s="79">
        <f ca="1">AM4/M4-1</f>
        <v>0.1269508080780366</v>
      </c>
      <c r="AC4" s="88">
        <f ca="1">INDIRECT(AC$3&amp; "!N" &amp; ROW())</f>
        <v>0.17115977595693524</v>
      </c>
      <c r="AD4" s="89">
        <f t="shared" ref="AD4:AF16" ca="1" si="6">INDIRECT(AD$3&amp; "!N" &amp; ROW())</f>
        <v>0.17115977595693524</v>
      </c>
      <c r="AE4" s="89">
        <f t="shared" ca="1" si="6"/>
        <v>0.17115977595693524</v>
      </c>
      <c r="AF4" s="89">
        <f t="shared" ca="1" si="6"/>
        <v>0.17115977595693524</v>
      </c>
      <c r="AG4" s="60">
        <f ca="1">AS4/M4-1</f>
        <v>0.17115977595693521</v>
      </c>
      <c r="AI4" s="46">
        <f ca="1">INDIRECT(AI$3&amp; "!I" &amp; ROW())</f>
        <v>5738.2213260663266</v>
      </c>
      <c r="AJ4" s="47">
        <f t="shared" ref="AJ4:AL16" ca="1" si="7">INDIRECT(AJ$3&amp; "!I" &amp; ROW())</f>
        <v>2099.3145288701717</v>
      </c>
      <c r="AK4" s="47">
        <f t="shared" ca="1" si="7"/>
        <v>183.89422720331413</v>
      </c>
      <c r="AL4" s="47">
        <f t="shared" ca="1" si="7"/>
        <v>417.51565399095108</v>
      </c>
      <c r="AM4" s="54">
        <f t="shared" ref="AM4:AM16" ca="1" si="8">SUM(AI4:AL4)</f>
        <v>8438.9457361307632</v>
      </c>
      <c r="AO4" s="46">
        <f ca="1">INDIRECT(AO$3 &amp; "!M" &amp;ROW())</f>
        <v>6001.9941821864395</v>
      </c>
      <c r="AP4" s="47">
        <f t="shared" ref="AP4:AR16" ca="1" si="9">INDIRECT(AP$3 &amp; "!M" &amp;ROW())</f>
        <v>2150.0690466072861</v>
      </c>
      <c r="AQ4" s="47">
        <f t="shared" ca="1" si="9"/>
        <v>190.32271279095195</v>
      </c>
      <c r="AR4" s="47">
        <f t="shared" ca="1" si="9"/>
        <v>427.60980871364114</v>
      </c>
      <c r="AS4" s="54">
        <f t="shared" ref="AS4:AS16" ca="1" si="10">SUM(AO4:AR4)</f>
        <v>8769.9957502983198</v>
      </c>
    </row>
    <row r="5" spans="2:45" x14ac:dyDescent="0.2">
      <c r="B5" s="38">
        <v>2</v>
      </c>
      <c r="C5" s="48">
        <f>SUMIFS(销售数据!$C:$C,销售数据!$B:$B,汇总!C$3,销售数据!$A:$A,EOMONTH(DATE(2016,汇总!$B5,1),0))</f>
        <v>4107.56970786895</v>
      </c>
      <c r="D5" s="49">
        <f>SUMIFS(销售数据!$C:$C,销售数据!$B:$B,汇总!D$3,销售数据!$A:$A,EOMONTH(DATE(2016,汇总!$B5,1),0))</f>
        <v>1471.4373619158612</v>
      </c>
      <c r="E5" s="49">
        <f>SUMIFS(销售数据!$C:$C,销售数据!$B:$B,汇总!E$3,销售数据!$A:$A,EOMONTH(DATE(2016,汇总!$B5,1),0))</f>
        <v>130.25067769971932</v>
      </c>
      <c r="F5" s="49">
        <f>SUMIFS(销售数据!$C:$C,销售数据!$B:$B,汇总!F$3,销售数据!$A:$A,EOMONTH(DATE(2016,汇总!$B5,1),0))</f>
        <v>292.64225251547032</v>
      </c>
      <c r="G5" s="55">
        <f t="shared" si="0"/>
        <v>6001.9000000000015</v>
      </c>
      <c r="H5" s="33"/>
      <c r="I5" s="48">
        <f>SUMIFS(销售数据!$C:$C,销售数据!$B:$B,汇总!I$3,销售数据!$A:$A,EOMONTH(DATE(2017,汇总!$B5,1),0))</f>
        <v>4800.0236025392715</v>
      </c>
      <c r="J5" s="49">
        <f>SUMIFS(销售数据!$C:$C,销售数据!$B:$B,汇总!J$3,销售数据!$A:$A,EOMONTH(DATE(2017,汇总!$B5,1),0))</f>
        <v>1719.4921983487354</v>
      </c>
      <c r="K5" s="49">
        <f>SUMIFS(销售数据!$C:$C,销售数据!$B:$B,汇总!K$3,销售数据!$A:$A,EOMONTH(DATE(2017,汇总!$B5,1),0))</f>
        <v>152.20833039246264</v>
      </c>
      <c r="L5" s="49">
        <f>SUMIFS(销售数据!$C:$C,销售数据!$B:$B,汇总!L$3,销售数据!$A:$A,EOMONTH(DATE(2017,汇总!$B5,1),0))</f>
        <v>341.97586871953132</v>
      </c>
      <c r="M5" s="59">
        <f t="shared" si="1"/>
        <v>7013.7000000000016</v>
      </c>
      <c r="N5" s="61">
        <f t="shared" ref="N5:N16" si="11">M5/G5-1</f>
        <v>0.16857994968260059</v>
      </c>
      <c r="O5" s="33"/>
      <c r="P5" s="62">
        <f t="shared" ref="P5:P15" ca="1" si="12">I5+I5*$U5</f>
        <v>5658.5879979895071</v>
      </c>
      <c r="Q5" s="63">
        <f t="shared" ca="1" si="2"/>
        <v>2027.052098465831</v>
      </c>
      <c r="R5" s="63">
        <f t="shared" ca="1" si="3"/>
        <v>179.43333259802739</v>
      </c>
      <c r="S5" s="63">
        <f t="shared" ca="1" si="4"/>
        <v>403.14396481606536</v>
      </c>
      <c r="T5" s="64">
        <f ca="1">VLOOKUP(EOMONTH(DATE(2018,$B5,1),0),时间序列预测工具!$C:$K,9,0)</f>
        <v>8268.2173938694323</v>
      </c>
      <c r="U5" s="65">
        <f t="shared" ref="U5:U16" ca="1" si="13">T5/M5-1</f>
        <v>0.17886670286288697</v>
      </c>
      <c r="W5" s="96">
        <f t="shared" ref="W5:W16" ca="1" si="14">INDIRECT(W$3 &amp; "!J" &amp; ROW())</f>
        <v>0.10813470069111353</v>
      </c>
      <c r="X5" s="97">
        <f t="shared" ca="1" si="5"/>
        <v>0.10813470069111375</v>
      </c>
      <c r="Y5" s="97">
        <f t="shared" ca="1" si="5"/>
        <v>0.10813470069111375</v>
      </c>
      <c r="Z5" s="97">
        <f t="shared" ca="1" si="5"/>
        <v>0.13171203474837134</v>
      </c>
      <c r="AA5" s="80">
        <f t="shared" ref="AA5:AA16" ca="1" si="15">AM5/M5-1</f>
        <v>0.109284290678755</v>
      </c>
      <c r="AC5" s="90">
        <f t="shared" ref="AC5:AC16" ca="1" si="16">INDIRECT(AC$3&amp; "!N" &amp; ROW())</f>
        <v>0.15886670286288698</v>
      </c>
      <c r="AD5" s="91">
        <f t="shared" ca="1" si="6"/>
        <v>0.15886670286288698</v>
      </c>
      <c r="AE5" s="91">
        <f t="shared" ca="1" si="6"/>
        <v>0.15886670286288698</v>
      </c>
      <c r="AF5" s="91">
        <f t="shared" ca="1" si="6"/>
        <v>0.15886670286288698</v>
      </c>
      <c r="AG5" s="61">
        <f t="shared" ref="AG5:AG16" ca="1" si="17">AS5/M5-1</f>
        <v>0.15886670286288673</v>
      </c>
      <c r="AI5" s="48">
        <f t="shared" ref="AI5:AI16" ca="1" si="18">INDIRECT(AI$3&amp; "!I" &amp; ROW())</f>
        <v>5319.0727181101365</v>
      </c>
      <c r="AJ5" s="49">
        <f t="shared" ca="1" si="7"/>
        <v>1905.4289725578813</v>
      </c>
      <c r="AK5" s="49">
        <f t="shared" ca="1" si="7"/>
        <v>168.66733264214574</v>
      </c>
      <c r="AL5" s="49">
        <f t="shared" ca="1" si="7"/>
        <v>387.01820622342274</v>
      </c>
      <c r="AM5" s="55">
        <f t="shared" ca="1" si="8"/>
        <v>7780.1872295335861</v>
      </c>
      <c r="AO5" s="48">
        <f t="shared" ref="AO5:AO16" ca="1" si="19">INDIRECT(AO$3 &amp; "!M" &amp;ROW())</f>
        <v>5562.5875259387221</v>
      </c>
      <c r="AP5" s="49">
        <f t="shared" ca="1" si="9"/>
        <v>1992.6622544988563</v>
      </c>
      <c r="AQ5" s="49">
        <f t="shared" ca="1" si="9"/>
        <v>176.38916599017813</v>
      </c>
      <c r="AR5" s="49">
        <f t="shared" ca="1" si="9"/>
        <v>396.30444744167477</v>
      </c>
      <c r="AS5" s="55">
        <f t="shared" ca="1" si="10"/>
        <v>8127.943393869431</v>
      </c>
    </row>
    <row r="6" spans="2:45" x14ac:dyDescent="0.2">
      <c r="B6" s="38">
        <v>3</v>
      </c>
      <c r="C6" s="48">
        <f>SUMIFS(销售数据!$C:$C,销售数据!$B:$B,汇总!C$3,销售数据!$A:$A,EOMONTH(DATE(2016,汇总!$B6,1),0))</f>
        <v>3967.1352947573168</v>
      </c>
      <c r="D6" s="49">
        <f>SUMIFS(销售数据!$C:$C,销售数据!$B:$B,汇总!D$3,销售数据!$A:$A,EOMONTH(DATE(2016,汇总!$B6,1),0))</f>
        <v>1421.1301347602712</v>
      </c>
      <c r="E6" s="49">
        <f>SUMIFS(销售数据!$C:$C,销售数据!$B:$B,汇总!E$3,销售数据!$A:$A,EOMONTH(DATE(2016,汇总!$B6,1),0))</f>
        <v>125.79751469067511</v>
      </c>
      <c r="F6" s="49">
        <f>SUMIFS(销售数据!$C:$C,销售数据!$B:$B,汇总!F$3,销售数据!$A:$A,EOMONTH(DATE(2016,汇总!$B6,1),0))</f>
        <v>282.63705579173711</v>
      </c>
      <c r="G6" s="55">
        <f t="shared" si="0"/>
        <v>5796.7</v>
      </c>
      <c r="H6" s="33"/>
      <c r="I6" s="48">
        <f>SUMIFS(销售数据!$C:$C,销售数据!$B:$B,汇总!I$3,销售数据!$A:$A,EOMONTH(DATE(2017,汇总!$B6,1),0))</f>
        <v>4575.6159804179051</v>
      </c>
      <c r="J6" s="49">
        <f>SUMIFS(销售数据!$C:$C,销售数据!$B:$B,汇总!J$3,销售数据!$A:$A,EOMONTH(DATE(2017,汇总!$B6,1),0))</f>
        <v>1639.1036029085894</v>
      </c>
      <c r="K6" s="49">
        <f>SUMIFS(销售数据!$C:$C,销售数据!$B:$B,汇总!K$3,销售数据!$A:$A,EOMONTH(DATE(2017,汇总!$B6,1),0))</f>
        <v>145.09238423912151</v>
      </c>
      <c r="L6" s="49">
        <f>SUMIFS(销售数据!$C:$C,销售数据!$B:$B,汇总!L$3,销售数据!$A:$A,EOMONTH(DATE(2017,汇总!$B6,1),0))</f>
        <v>325.98803243438442</v>
      </c>
      <c r="M6" s="59">
        <f t="shared" si="1"/>
        <v>6685.7999999999993</v>
      </c>
      <c r="N6" s="61">
        <f t="shared" si="11"/>
        <v>0.15338037159073248</v>
      </c>
      <c r="O6" s="33"/>
      <c r="P6" s="62">
        <f t="shared" ca="1" si="12"/>
        <v>5407.27176955504</v>
      </c>
      <c r="Q6" s="63">
        <f t="shared" ca="1" si="2"/>
        <v>1937.0241465443255</v>
      </c>
      <c r="R6" s="63">
        <f t="shared" ca="1" si="3"/>
        <v>171.4641168820244</v>
      </c>
      <c r="S6" s="63">
        <f t="shared" ca="1" si="4"/>
        <v>385.23903503681845</v>
      </c>
      <c r="T6" s="64">
        <f ca="1">VLOOKUP(EOMONTH(DATE(2018,$B6,1),0),时间序列预测工具!$C:$K,9,0)</f>
        <v>7900.9990680182063</v>
      </c>
      <c r="U6" s="65">
        <f t="shared" ca="1" si="13"/>
        <v>0.18175821412818327</v>
      </c>
      <c r="W6" s="96">
        <f t="shared" ca="1" si="14"/>
        <v>0.11085272128049239</v>
      </c>
      <c r="X6" s="97">
        <f t="shared" ca="1" si="5"/>
        <v>0.14630546770433783</v>
      </c>
      <c r="Y6" s="97">
        <f t="shared" ca="1" si="5"/>
        <v>0.1344878855630558</v>
      </c>
      <c r="Z6" s="97">
        <f t="shared" ca="1" si="5"/>
        <v>0.12267030342177421</v>
      </c>
      <c r="AA6" s="80">
        <f t="shared" ca="1" si="15"/>
        <v>0.120633509979577</v>
      </c>
      <c r="AC6" s="90">
        <f t="shared" ca="1" si="16"/>
        <v>0.16175821412818328</v>
      </c>
      <c r="AD6" s="91">
        <f t="shared" ca="1" si="6"/>
        <v>0.16175821412818328</v>
      </c>
      <c r="AE6" s="91">
        <f t="shared" ca="1" si="6"/>
        <v>0.16175821412818328</v>
      </c>
      <c r="AF6" s="91">
        <f t="shared" ca="1" si="6"/>
        <v>0.16175821412818328</v>
      </c>
      <c r="AG6" s="61">
        <f t="shared" ca="1" si="17"/>
        <v>0.16175821412818348</v>
      </c>
      <c r="AI6" s="48">
        <f t="shared" ca="1" si="18"/>
        <v>5082.835463381738</v>
      </c>
      <c r="AJ6" s="49">
        <f t="shared" ca="1" si="7"/>
        <v>1878.9134221479958</v>
      </c>
      <c r="AK6" s="49">
        <f t="shared" ca="1" si="7"/>
        <v>164.60555220674343</v>
      </c>
      <c r="AL6" s="49">
        <f t="shared" ca="1" si="7"/>
        <v>365.97708328497754</v>
      </c>
      <c r="AM6" s="55">
        <f t="shared" ca="1" si="8"/>
        <v>7492.331521021455</v>
      </c>
      <c r="AO6" s="48">
        <f t="shared" ca="1" si="19"/>
        <v>5315.7594499466823</v>
      </c>
      <c r="AP6" s="49">
        <f t="shared" ca="1" si="9"/>
        <v>1904.2420744861538</v>
      </c>
      <c r="AQ6" s="49">
        <f t="shared" ca="1" si="9"/>
        <v>168.56226919724199</v>
      </c>
      <c r="AR6" s="49">
        <f t="shared" ca="1" si="9"/>
        <v>378.71927438813071</v>
      </c>
      <c r="AS6" s="55">
        <f t="shared" ca="1" si="10"/>
        <v>7767.2830680182087</v>
      </c>
    </row>
    <row r="7" spans="2:45" x14ac:dyDescent="0.2">
      <c r="B7" s="38">
        <v>4</v>
      </c>
      <c r="C7" s="48">
        <f>SUMIFS(销售数据!$C:$C,销售数据!$B:$B,汇总!C$3,销售数据!$A:$A,EOMONTH(DATE(2016,汇总!$B7,1),0))</f>
        <v>3952.0105358403239</v>
      </c>
      <c r="D7" s="49">
        <f>SUMIFS(销售数据!$C:$C,销售数据!$B:$B,汇总!D$3,销售数据!$A:$A,EOMONTH(DATE(2016,汇总!$B7,1),0))</f>
        <v>1415.7120562020914</v>
      </c>
      <c r="E7" s="49">
        <f>SUMIFS(销售数据!$C:$C,销售数据!$B:$B,汇总!E$3,销售数据!$A:$A,EOMONTH(DATE(2016,汇总!$B7,1),0))</f>
        <v>125.31790990266401</v>
      </c>
      <c r="F7" s="49">
        <f>SUMIFS(销售数据!$C:$C,销售数据!$B:$B,汇总!F$3,销售数据!$A:$A,EOMONTH(DATE(2016,汇总!$B7,1),0))</f>
        <v>281.55949805492179</v>
      </c>
      <c r="G7" s="55">
        <f t="shared" si="0"/>
        <v>5774.6000000000013</v>
      </c>
      <c r="H7" s="33"/>
      <c r="I7" s="48">
        <f>SUMIFS(销售数据!$C:$C,销售数据!$B:$B,汇总!I$3,销售数据!$A:$A,EOMONTH(DATE(2017,汇总!$B7,1),0))</f>
        <v>4566.5137499384473</v>
      </c>
      <c r="J7" s="49">
        <f>SUMIFS(销售数据!$C:$C,销售数据!$B:$B,汇总!J$3,销售数据!$A:$A,EOMONTH(DATE(2017,汇总!$B7,1),0))</f>
        <v>1635.8429492966532</v>
      </c>
      <c r="K7" s="49">
        <f>SUMIFS(销售数据!$C:$C,销售数据!$B:$B,汇总!K$3,销售数据!$A:$A,EOMONTH(DATE(2017,汇总!$B7,1),0))</f>
        <v>144.80375330335016</v>
      </c>
      <c r="L7" s="49">
        <f>SUMIFS(销售数据!$C:$C,销售数据!$B:$B,汇总!L$3,销售数据!$A:$A,EOMONTH(DATE(2017,汇总!$B7,1),0))</f>
        <v>325.33954746154984</v>
      </c>
      <c r="M7" s="59">
        <f t="shared" si="1"/>
        <v>6672.5000000000009</v>
      </c>
      <c r="N7" s="61">
        <f t="shared" si="11"/>
        <v>0.15549128943996116</v>
      </c>
      <c r="O7" s="33"/>
      <c r="P7" s="62">
        <f t="shared" ca="1" si="12"/>
        <v>5330.4768765403915</v>
      </c>
      <c r="Q7" s="63">
        <f t="shared" ca="1" si="2"/>
        <v>1909.5142361051649</v>
      </c>
      <c r="R7" s="63">
        <f t="shared" ca="1" si="3"/>
        <v>169.02895751275722</v>
      </c>
      <c r="S7" s="63">
        <f t="shared" ca="1" si="4"/>
        <v>379.76781188741245</v>
      </c>
      <c r="T7" s="64">
        <f ca="1">VLOOKUP(EOMONTH(DATE(2018,$B7,1),0),时间序列预测工具!$C:$K,9,0)</f>
        <v>7788.7878820457272</v>
      </c>
      <c r="U7" s="65">
        <f t="shared" ca="1" si="13"/>
        <v>0.167296797608951</v>
      </c>
      <c r="W7" s="96">
        <f t="shared" ca="1" si="14"/>
        <v>9.7258989752413871E-2</v>
      </c>
      <c r="X7" s="97">
        <f t="shared" ca="1" si="5"/>
        <v>0.13227789368068255</v>
      </c>
      <c r="Y7" s="97">
        <f t="shared" ca="1" si="5"/>
        <v>0.12060492570459314</v>
      </c>
      <c r="Z7" s="97">
        <f t="shared" ca="1" si="5"/>
        <v>0.12060492570459291</v>
      </c>
      <c r="AA7" s="80">
        <f t="shared" ca="1" si="15"/>
        <v>0.1074892426518006</v>
      </c>
      <c r="AC7" s="90">
        <f t="shared" ca="1" si="16"/>
        <v>0.14729679760895101</v>
      </c>
      <c r="AD7" s="91">
        <f t="shared" ca="1" si="6"/>
        <v>0.14729679760895101</v>
      </c>
      <c r="AE7" s="91">
        <f t="shared" ca="1" si="6"/>
        <v>0.14729679760895101</v>
      </c>
      <c r="AF7" s="91">
        <f t="shared" ca="1" si="6"/>
        <v>0.14729679760895101</v>
      </c>
      <c r="AG7" s="61">
        <f t="shared" ca="1" si="17"/>
        <v>0.14729679760895076</v>
      </c>
      <c r="AI7" s="48">
        <f t="shared" ca="1" si="18"/>
        <v>5010.6482639479682</v>
      </c>
      <c r="AJ7" s="49">
        <f t="shared" ca="1" si="7"/>
        <v>1852.22880902201</v>
      </c>
      <c r="AK7" s="49">
        <f t="shared" ca="1" si="7"/>
        <v>162.26779921224693</v>
      </c>
      <c r="AL7" s="49">
        <f t="shared" ca="1" si="7"/>
        <v>364.57709941191592</v>
      </c>
      <c r="AM7" s="55">
        <f t="shared" ca="1" si="8"/>
        <v>7389.721971594141</v>
      </c>
      <c r="AO7" s="48">
        <f t="shared" ca="1" si="19"/>
        <v>5239.1466015416227</v>
      </c>
      <c r="AP7" s="49">
        <f t="shared" ca="1" si="9"/>
        <v>1876.7973771192319</v>
      </c>
      <c r="AQ7" s="49">
        <f t="shared" ca="1" si="9"/>
        <v>166.13288244669019</v>
      </c>
      <c r="AR7" s="49">
        <f t="shared" ca="1" si="9"/>
        <v>373.26102093818145</v>
      </c>
      <c r="AS7" s="55">
        <f t="shared" ca="1" si="10"/>
        <v>7655.3378820457256</v>
      </c>
    </row>
    <row r="8" spans="2:45" x14ac:dyDescent="0.2">
      <c r="B8" s="38">
        <v>5</v>
      </c>
      <c r="C8" s="48">
        <f>SUMIFS(销售数据!$C:$C,销售数据!$B:$B,汇总!C$3,销售数据!$A:$A,EOMONTH(DATE(2016,汇总!$B8,1),0))</f>
        <v>4226.4462066871311</v>
      </c>
      <c r="D8" s="49">
        <f>SUMIFS(销售数据!$C:$C,销售数据!$B:$B,汇总!D$3,销售数据!$A:$A,EOMONTH(DATE(2016,汇总!$B8,1),0))</f>
        <v>1514.0219884116018</v>
      </c>
      <c r="E8" s="49">
        <f>SUMIFS(销售数据!$C:$C,销售数据!$B:$B,汇总!E$3,销售数据!$A:$A,EOMONTH(DATE(2016,汇总!$B8,1),0))</f>
        <v>134.02024112404183</v>
      </c>
      <c r="F8" s="49">
        <f>SUMIFS(销售数据!$C:$C,销售数据!$B:$B,汇总!F$3,销售数据!$A:$A,EOMONTH(DATE(2016,汇总!$B8,1),0))</f>
        <v>301.11156377722699</v>
      </c>
      <c r="G8" s="55">
        <f t="shared" si="0"/>
        <v>6175.6000000000013</v>
      </c>
      <c r="H8" s="33"/>
      <c r="I8" s="48">
        <f>SUMIFS(销售数据!$C:$C,销售数据!$B:$B,汇总!I$3,销售数据!$A:$A,EOMONTH(DATE(2017,汇总!$B8,1),0))</f>
        <v>4898.4371922344608</v>
      </c>
      <c r="J8" s="49">
        <f>SUMIFS(销售数据!$C:$C,销售数据!$B:$B,汇总!J$3,销售数据!$A:$A,EOMONTH(DATE(2017,汇总!$B8,1),0))</f>
        <v>1754.746483265762</v>
      </c>
      <c r="K8" s="49">
        <f>SUMIFS(销售数据!$C:$C,销售数据!$B:$B,汇总!K$3,销售数据!$A:$A,EOMONTH(DATE(2017,汇总!$B8,1),0))</f>
        <v>155.32901675065247</v>
      </c>
      <c r="L8" s="49">
        <f>SUMIFS(销售数据!$C:$C,销售数据!$B:$B,汇总!L$3,销售数据!$A:$A,EOMONTH(DATE(2017,汇总!$B8,1),0))</f>
        <v>348.98730774912599</v>
      </c>
      <c r="M8" s="59">
        <f t="shared" si="1"/>
        <v>7157.5</v>
      </c>
      <c r="N8" s="61">
        <f t="shared" si="11"/>
        <v>0.15899669667724559</v>
      </c>
      <c r="O8" s="33"/>
      <c r="P8" s="62">
        <f t="shared" ca="1" si="12"/>
        <v>5642.4529005291615</v>
      </c>
      <c r="Q8" s="63">
        <f t="shared" ca="1" si="2"/>
        <v>2021.2720905950396</v>
      </c>
      <c r="R8" s="63">
        <f t="shared" ca="1" si="3"/>
        <v>178.92169006279903</v>
      </c>
      <c r="S8" s="63">
        <f t="shared" ca="1" si="4"/>
        <v>401.99442589130723</v>
      </c>
      <c r="T8" s="64">
        <f ca="1">VLOOKUP(EOMONTH(DATE(2018,$B8,1),0),时间序列预测工具!$C:$K,9,0)</f>
        <v>8244.6411070783051</v>
      </c>
      <c r="U8" s="65">
        <f t="shared" ca="1" si="13"/>
        <v>0.15188838380416425</v>
      </c>
      <c r="W8" s="96">
        <f t="shared" ca="1" si="14"/>
        <v>8.2775080775914445E-2</v>
      </c>
      <c r="X8" s="97">
        <f t="shared" ca="1" si="5"/>
        <v>8.2775080775914445E-2</v>
      </c>
      <c r="Y8" s="97">
        <f t="shared" ca="1" si="5"/>
        <v>0.11733173229003935</v>
      </c>
      <c r="Z8" s="97">
        <f t="shared" ca="1" si="5"/>
        <v>0.11733173229003935</v>
      </c>
      <c r="AA8" s="80">
        <f t="shared" ca="1" si="15"/>
        <v>8.5209937007646896E-2</v>
      </c>
      <c r="AC8" s="90">
        <f t="shared" ca="1" si="16"/>
        <v>0.13188838380416426</v>
      </c>
      <c r="AD8" s="91">
        <f t="shared" ca="1" si="6"/>
        <v>0.13188838380416426</v>
      </c>
      <c r="AE8" s="91">
        <f t="shared" ca="1" si="6"/>
        <v>0.13188838380416426</v>
      </c>
      <c r="AF8" s="91">
        <f t="shared" ca="1" si="6"/>
        <v>0.13188838380416426</v>
      </c>
      <c r="AG8" s="61">
        <f t="shared" ca="1" si="17"/>
        <v>0.13188838380416446</v>
      </c>
      <c r="AI8" s="48">
        <f t="shared" ca="1" si="18"/>
        <v>5303.9057264974117</v>
      </c>
      <c r="AJ8" s="49">
        <f t="shared" ca="1" si="7"/>
        <v>1899.9957651593372</v>
      </c>
      <c r="AK8" s="49">
        <f t="shared" ca="1" si="7"/>
        <v>173.55403936091506</v>
      </c>
      <c r="AL8" s="49">
        <f t="shared" ca="1" si="7"/>
        <v>389.93459311456803</v>
      </c>
      <c r="AM8" s="55">
        <f t="shared" ca="1" si="8"/>
        <v>7767.3901241322319</v>
      </c>
      <c r="AO8" s="48">
        <f t="shared" ca="1" si="19"/>
        <v>5544.4841566844716</v>
      </c>
      <c r="AP8" s="49">
        <f t="shared" ca="1" si="9"/>
        <v>1986.1771609297243</v>
      </c>
      <c r="AQ8" s="49">
        <f t="shared" ca="1" si="9"/>
        <v>175.81510972778599</v>
      </c>
      <c r="AR8" s="49">
        <f t="shared" ca="1" si="9"/>
        <v>395.01467973632469</v>
      </c>
      <c r="AS8" s="55">
        <f t="shared" ca="1" si="10"/>
        <v>8101.4911070783073</v>
      </c>
    </row>
    <row r="9" spans="2:45" x14ac:dyDescent="0.2">
      <c r="B9" s="38">
        <v>6</v>
      </c>
      <c r="C9" s="48">
        <f>SUMIFS(销售数据!$C:$C,销售数据!$B:$B,汇总!C$3,销售数据!$A:$A,EOMONTH(DATE(2016,汇总!$B9,1),0))</f>
        <v>4145.8264510119334</v>
      </c>
      <c r="D9" s="49">
        <f>SUMIFS(销售数据!$C:$C,销售数据!$B:$B,汇总!D$3,销售数据!$A:$A,EOMONTH(DATE(2016,汇总!$B9,1),0))</f>
        <v>1485.1419135630224</v>
      </c>
      <c r="E9" s="49">
        <f>SUMIFS(销售数据!$C:$C,销售数据!$B:$B,汇总!E$3,销售数据!$A:$A,EOMONTH(DATE(2016,汇总!$B9,1),0))</f>
        <v>131.46379569292387</v>
      </c>
      <c r="F9" s="49">
        <f>SUMIFS(销售数据!$C:$C,销售数据!$B:$B,汇总!F$3,销售数据!$A:$A,EOMONTH(DATE(2016,汇总!$B9,1),0))</f>
        <v>295.3678397321209</v>
      </c>
      <c r="G9" s="55">
        <f t="shared" si="0"/>
        <v>6057.8</v>
      </c>
      <c r="H9" s="33"/>
      <c r="I9" s="48">
        <f>SUMIFS(销售数据!$C:$C,销售数据!$B:$B,汇总!I$3,销售数据!$A:$A,EOMONTH(DATE(2017,汇总!$B9,1),0))</f>
        <v>4808.4414547871911</v>
      </c>
      <c r="J9" s="49">
        <f>SUMIFS(销售数据!$C:$C,销售数据!$B:$B,汇总!J$3,销售数据!$A:$A,EOMONTH(DATE(2017,汇总!$B9,1),0))</f>
        <v>1722.5076900349623</v>
      </c>
      <c r="K9" s="49">
        <f>SUMIFS(销售数据!$C:$C,销售数据!$B:$B,汇总!K$3,销售数据!$A:$A,EOMONTH(DATE(2017,汇总!$B9,1),0))</f>
        <v>152.47525975411585</v>
      </c>
      <c r="L9" s="49">
        <f>SUMIFS(销售数据!$C:$C,销售数据!$B:$B,汇总!L$3,销售数据!$A:$A,EOMONTH(DATE(2017,汇总!$B9,1),0))</f>
        <v>342.57559542373167</v>
      </c>
      <c r="M9" s="59">
        <f t="shared" si="1"/>
        <v>7026.0000000000009</v>
      </c>
      <c r="N9" s="61">
        <f t="shared" si="11"/>
        <v>0.15982699990095428</v>
      </c>
      <c r="O9" s="33"/>
      <c r="P9" s="62">
        <f t="shared" ca="1" si="12"/>
        <v>5604.9833300097916</v>
      </c>
      <c r="Q9" s="63">
        <f t="shared" ca="1" si="2"/>
        <v>2007.8495244748538</v>
      </c>
      <c r="R9" s="63">
        <f t="shared" ca="1" si="3"/>
        <v>177.7335332449328</v>
      </c>
      <c r="S9" s="63">
        <f t="shared" ca="1" si="4"/>
        <v>399.32492049093162</v>
      </c>
      <c r="T9" s="64">
        <f ca="1">VLOOKUP(EOMONTH(DATE(2018,$B9,1),0),时间序列预测工具!$C:$K,9,0)</f>
        <v>8189.8913082205099</v>
      </c>
      <c r="U9" s="65">
        <f t="shared" ca="1" si="13"/>
        <v>0.16565489727021188</v>
      </c>
      <c r="W9" s="96">
        <f t="shared" ca="1" si="14"/>
        <v>9.5715603433999208E-2</v>
      </c>
      <c r="X9" s="97">
        <f t="shared" ca="1" si="5"/>
        <v>0.13068525035210543</v>
      </c>
      <c r="Y9" s="97">
        <f t="shared" ca="1" si="5"/>
        <v>0.1073721524067015</v>
      </c>
      <c r="Z9" s="97">
        <f t="shared" ca="1" si="5"/>
        <v>0.10737215240670128</v>
      </c>
      <c r="AA9" s="80">
        <f t="shared" ca="1" si="15"/>
        <v>0.10511014802147489</v>
      </c>
      <c r="AC9" s="90">
        <f t="shared" ca="1" si="16"/>
        <v>0.14565489727021189</v>
      </c>
      <c r="AD9" s="91">
        <f t="shared" ca="1" si="6"/>
        <v>0.14565489727021189</v>
      </c>
      <c r="AE9" s="91">
        <f t="shared" ca="1" si="6"/>
        <v>0.14565489727021189</v>
      </c>
      <c r="AF9" s="91">
        <f t="shared" ca="1" si="6"/>
        <v>0.14565489727021189</v>
      </c>
      <c r="AG9" s="61">
        <f t="shared" ca="1" si="17"/>
        <v>0.14565489727021208</v>
      </c>
      <c r="AI9" s="48">
        <f t="shared" ca="1" si="18"/>
        <v>5268.6843302092038</v>
      </c>
      <c r="AJ9" s="49">
        <f t="shared" ca="1" si="7"/>
        <v>1947.6140387406081</v>
      </c>
      <c r="AK9" s="49">
        <f t="shared" ca="1" si="7"/>
        <v>168.84685658268617</v>
      </c>
      <c r="AL9" s="49">
        <f t="shared" ca="1" si="7"/>
        <v>379.35867446638503</v>
      </c>
      <c r="AM9" s="55">
        <f t="shared" ca="1" si="8"/>
        <v>7764.5038999988838</v>
      </c>
      <c r="AO9" s="48">
        <f t="shared" ca="1" si="19"/>
        <v>5508.814500914048</v>
      </c>
      <c r="AP9" s="49">
        <f t="shared" ca="1" si="9"/>
        <v>1973.3993706741546</v>
      </c>
      <c r="AQ9" s="49">
        <f t="shared" ca="1" si="9"/>
        <v>174.68402804985047</v>
      </c>
      <c r="AR9" s="49">
        <f t="shared" ca="1" si="9"/>
        <v>392.47340858245695</v>
      </c>
      <c r="AS9" s="55">
        <f t="shared" ca="1" si="10"/>
        <v>8049.3713082205104</v>
      </c>
    </row>
    <row r="10" spans="2:45" x14ac:dyDescent="0.2">
      <c r="B10" s="38">
        <v>7</v>
      </c>
      <c r="C10" s="48">
        <f>SUMIFS(销售数据!$C:$C,销售数据!$B:$B,汇总!C$3,销售数据!$A:$A,EOMONTH(DATE(2016,汇总!$B10,1),0))</f>
        <v>4114.6188036537933</v>
      </c>
      <c r="D10" s="49">
        <f>SUMIFS(销售数据!$C:$C,销售数据!$B:$B,汇总!D$3,销售数据!$A:$A,EOMONTH(DATE(2016,汇总!$B10,1),0))</f>
        <v>1473.9625297506689</v>
      </c>
      <c r="E10" s="49">
        <f>SUMIFS(销售数据!$C:$C,销售数据!$B:$B,汇总!E$3,销售数据!$A:$A,EOMONTH(DATE(2016,汇总!$B10,1),0))</f>
        <v>130.47420391313625</v>
      </c>
      <c r="F10" s="49">
        <f>SUMIFS(销售数据!$C:$C,销售数据!$B:$B,汇总!F$3,销售数据!$A:$A,EOMONTH(DATE(2016,汇总!$B10,1),0))</f>
        <v>293.14446268240238</v>
      </c>
      <c r="G10" s="55">
        <f t="shared" si="0"/>
        <v>6012.2000000000007</v>
      </c>
      <c r="H10" s="33"/>
      <c r="I10" s="48">
        <f>SUMIFS(销售数据!$C:$C,销售数据!$B:$B,汇总!I$3,销售数据!$A:$A,EOMONTH(DATE(2017,汇总!$B10,1),0))</f>
        <v>4789.4157399504302</v>
      </c>
      <c r="J10" s="49">
        <f>SUMIFS(销售数据!$C:$C,销售数据!$B:$B,汇总!J$3,销售数据!$A:$A,EOMONTH(DATE(2017,汇总!$B10,1),0))</f>
        <v>1715.6921885002384</v>
      </c>
      <c r="K10" s="49">
        <f>SUMIFS(销售数据!$C:$C,销售数据!$B:$B,汇总!K$3,销售数据!$A:$A,EOMONTH(DATE(2017,汇总!$B10,1),0))</f>
        <v>151.87195599363133</v>
      </c>
      <c r="L10" s="49">
        <f>SUMIFS(销售数据!$C:$C,销售数据!$B:$B,汇总!L$3,销售数据!$A:$A,EOMONTH(DATE(2017,汇总!$B10,1),0))</f>
        <v>341.22011555570151</v>
      </c>
      <c r="M10" s="59">
        <f t="shared" si="1"/>
        <v>6998.2000000000016</v>
      </c>
      <c r="N10" s="61">
        <f t="shared" si="11"/>
        <v>0.16399986693722779</v>
      </c>
      <c r="O10" s="33"/>
      <c r="P10" s="62">
        <f t="shared" ca="1" si="12"/>
        <v>5580.9311255193261</v>
      </c>
      <c r="Q10" s="63">
        <f t="shared" ca="1" si="2"/>
        <v>1999.2334047639918</v>
      </c>
      <c r="R10" s="63">
        <f t="shared" ca="1" si="3"/>
        <v>176.97083993529677</v>
      </c>
      <c r="S10" s="63">
        <f t="shared" ca="1" si="4"/>
        <v>397.61133026589698</v>
      </c>
      <c r="T10" s="64">
        <f ca="1">VLOOKUP(EOMONTH(DATE(2018,$B10,1),0),时间序列预测工具!$C:$K,9,0)</f>
        <v>8154.7467004845121</v>
      </c>
      <c r="U10" s="65">
        <f t="shared" ca="1" si="13"/>
        <v>0.16526345352869454</v>
      </c>
      <c r="W10" s="96">
        <f t="shared" ca="1" si="14"/>
        <v>0.11865291538754663</v>
      </c>
      <c r="X10" s="97">
        <f t="shared" ca="1" si="5"/>
        <v>0.10700028085225988</v>
      </c>
      <c r="Y10" s="97">
        <f t="shared" ca="1" si="5"/>
        <v>0.11865291538754685</v>
      </c>
      <c r="Z10" s="97">
        <f t="shared" ca="1" si="5"/>
        <v>0.10700028085225988</v>
      </c>
      <c r="AA10" s="80">
        <f t="shared" ca="1" si="15"/>
        <v>0.11522797078031921</v>
      </c>
      <c r="AC10" s="90">
        <f t="shared" ca="1" si="16"/>
        <v>0.14526345352869455</v>
      </c>
      <c r="AD10" s="91">
        <f t="shared" ca="1" si="6"/>
        <v>0.14526345352869455</v>
      </c>
      <c r="AE10" s="91">
        <f t="shared" ca="1" si="6"/>
        <v>0.14526345352869455</v>
      </c>
      <c r="AF10" s="91">
        <f t="shared" ca="1" si="6"/>
        <v>0.14526345352869455</v>
      </c>
      <c r="AG10" s="61">
        <f t="shared" ca="1" si="17"/>
        <v>0.14526345352869452</v>
      </c>
      <c r="AI10" s="48">
        <f t="shared" ca="1" si="18"/>
        <v>5357.693880498553</v>
      </c>
      <c r="AJ10" s="49">
        <f t="shared" ca="1" si="7"/>
        <v>1899.2717345257922</v>
      </c>
      <c r="AK10" s="49">
        <f t="shared" ca="1" si="7"/>
        <v>169.89200633788491</v>
      </c>
      <c r="AL10" s="49">
        <f t="shared" ca="1" si="7"/>
        <v>377.73076375260212</v>
      </c>
      <c r="AM10" s="55">
        <f t="shared" ca="1" si="8"/>
        <v>7804.5883851148319</v>
      </c>
      <c r="AO10" s="48">
        <f t="shared" ca="1" si="19"/>
        <v>5485.1428107203174</v>
      </c>
      <c r="AP10" s="49">
        <f t="shared" ca="1" si="9"/>
        <v>1964.919560993987</v>
      </c>
      <c r="AQ10" s="49">
        <f t="shared" ca="1" si="9"/>
        <v>173.93340081542414</v>
      </c>
      <c r="AR10" s="49">
        <f t="shared" ca="1" si="9"/>
        <v>390.78692795478293</v>
      </c>
      <c r="AS10" s="55">
        <f t="shared" ca="1" si="10"/>
        <v>8014.7827004845112</v>
      </c>
    </row>
    <row r="11" spans="2:45" x14ac:dyDescent="0.2">
      <c r="B11" s="38">
        <v>8</v>
      </c>
      <c r="C11" s="48">
        <f>SUMIFS(销售数据!$C:$C,销售数据!$B:$B,汇总!C$3,销售数据!$A:$A,EOMONTH(DATE(2016,汇总!$B11,1),0))</f>
        <v>4159.2402643500818</v>
      </c>
      <c r="D11" s="49">
        <f>SUMIFS(销售数据!$C:$C,销售数据!$B:$B,汇总!D$3,销售数据!$A:$A,EOMONTH(DATE(2016,汇总!$B11,1),0))</f>
        <v>1489.9470873069286</v>
      </c>
      <c r="E11" s="49">
        <f>SUMIFS(销售数据!$C:$C,销售数据!$B:$B,汇总!E$3,销售数据!$A:$A,EOMONTH(DATE(2016,汇总!$B11,1),0))</f>
        <v>131.88914654563956</v>
      </c>
      <c r="F11" s="49">
        <f>SUMIFS(销售数据!$C:$C,销售数据!$B:$B,汇总!F$3,销售数据!$A:$A,EOMONTH(DATE(2016,汇总!$B11,1),0))</f>
        <v>296.32350179735073</v>
      </c>
      <c r="G11" s="55">
        <f t="shared" si="0"/>
        <v>6077.4000000000015</v>
      </c>
      <c r="H11" s="33"/>
      <c r="I11" s="48">
        <f>SUMIFS(销售数据!$C:$C,销售数据!$B:$B,汇总!I$3,销售数据!$A:$A,EOMONTH(DATE(2017,汇总!$B11,1),0))</f>
        <v>4870.44612256455</v>
      </c>
      <c r="J11" s="49">
        <f>SUMIFS(销售数据!$C:$C,销售数据!$B:$B,汇总!J$3,销售数据!$A:$A,EOMONTH(DATE(2017,汇总!$B11,1),0))</f>
        <v>1744.7193605042435</v>
      </c>
      <c r="K11" s="49">
        <f>SUMIFS(销售数据!$C:$C,销售数据!$B:$B,汇总!K$3,销售数据!$A:$A,EOMONTH(DATE(2017,汇总!$B11,1),0))</f>
        <v>154.44142236922019</v>
      </c>
      <c r="L11" s="49">
        <f>SUMIFS(销售数据!$C:$C,销售数据!$B:$B,汇总!L$3,销售数据!$A:$A,EOMONTH(DATE(2017,汇总!$B11,1),0))</f>
        <v>346.99309456198819</v>
      </c>
      <c r="M11" s="59">
        <f t="shared" si="1"/>
        <v>7116.6000000000013</v>
      </c>
      <c r="N11" s="61">
        <f t="shared" si="11"/>
        <v>0.17099417514068516</v>
      </c>
      <c r="O11" s="33"/>
      <c r="P11" s="62">
        <f t="shared" ca="1" si="12"/>
        <v>5673.8446216419115</v>
      </c>
      <c r="Q11" s="63">
        <f t="shared" ca="1" si="2"/>
        <v>2032.5174143716888</v>
      </c>
      <c r="R11" s="63">
        <f t="shared" ca="1" si="3"/>
        <v>179.91711880531392</v>
      </c>
      <c r="S11" s="63">
        <f t="shared" ca="1" si="4"/>
        <v>404.23091720615304</v>
      </c>
      <c r="T11" s="64">
        <f ca="1">VLOOKUP(EOMONTH(DATE(2018,$B11,1),0),时间序列预测工具!$C:$K,9,0)</f>
        <v>8290.5100720250666</v>
      </c>
      <c r="U11" s="65">
        <f t="shared" ca="1" si="13"/>
        <v>0.16495378017944873</v>
      </c>
      <c r="W11" s="96">
        <f t="shared" ca="1" si="14"/>
        <v>0.13000516677406537</v>
      </c>
      <c r="X11" s="97">
        <f t="shared" ca="1" si="5"/>
        <v>0.1183556289722707</v>
      </c>
      <c r="Y11" s="97">
        <f t="shared" ca="1" si="5"/>
        <v>0.1183556289722707</v>
      </c>
      <c r="Z11" s="97">
        <f t="shared" ca="1" si="5"/>
        <v>0.10670609117047625</v>
      </c>
      <c r="AA11" s="80">
        <f t="shared" ca="1" si="15"/>
        <v>0.12576030775769631</v>
      </c>
      <c r="AC11" s="90">
        <f t="shared" ca="1" si="16"/>
        <v>0.14495378017944874</v>
      </c>
      <c r="AD11" s="91">
        <f t="shared" ca="1" si="6"/>
        <v>0.14495378017944874</v>
      </c>
      <c r="AE11" s="91">
        <f t="shared" ca="1" si="6"/>
        <v>0.14495378017944874</v>
      </c>
      <c r="AF11" s="91">
        <f t="shared" ca="1" si="6"/>
        <v>0.14495378017944874</v>
      </c>
      <c r="AG11" s="61">
        <f t="shared" ca="1" si="17"/>
        <v>0.14495378017944893</v>
      </c>
      <c r="AI11" s="48">
        <f t="shared" ca="1" si="18"/>
        <v>5503.6292829926542</v>
      </c>
      <c r="AJ11" s="49">
        <f t="shared" ca="1" si="7"/>
        <v>1951.2167177968213</v>
      </c>
      <c r="AK11" s="49">
        <f t="shared" ca="1" si="7"/>
        <v>172.72043405310137</v>
      </c>
      <c r="AL11" s="49">
        <f t="shared" ca="1" si="7"/>
        <v>384.0193713458454</v>
      </c>
      <c r="AM11" s="55">
        <f t="shared" ca="1" si="8"/>
        <v>8011.5858061884228</v>
      </c>
      <c r="AO11" s="48">
        <f t="shared" ca="1" si="19"/>
        <v>5576.4356991906207</v>
      </c>
      <c r="AP11" s="49">
        <f t="shared" ca="1" si="9"/>
        <v>1997.6230271616039</v>
      </c>
      <c r="AQ11" s="49">
        <f t="shared" ca="1" si="9"/>
        <v>176.82829035792952</v>
      </c>
      <c r="AR11" s="49">
        <f t="shared" ca="1" si="9"/>
        <v>397.29105531491331</v>
      </c>
      <c r="AS11" s="55">
        <f t="shared" ca="1" si="10"/>
        <v>8148.1780720250672</v>
      </c>
    </row>
    <row r="12" spans="2:45" x14ac:dyDescent="0.2">
      <c r="B12" s="38">
        <v>9</v>
      </c>
      <c r="C12" s="48">
        <f>SUMIFS(销售数据!$C:$C,销售数据!$B:$B,汇总!C$3,销售数据!$A:$A,EOMONTH(DATE(2016,汇总!$B12,1),0))</f>
        <v>4485.1411782085588</v>
      </c>
      <c r="D12" s="49">
        <f>SUMIFS(销售数据!$C:$C,销售数据!$B:$B,汇总!D$3,销售数据!$A:$A,EOMONTH(DATE(2016,汇总!$B12,1),0))</f>
        <v>1606.6931963297936</v>
      </c>
      <c r="E12" s="49">
        <f>SUMIFS(销售数据!$C:$C,销售数据!$B:$B,汇总!E$3,销售数据!$A:$A,EOMONTH(DATE(2016,汇总!$B12,1),0))</f>
        <v>142.2234361407022</v>
      </c>
      <c r="F12" s="49">
        <f>SUMIFS(销售数据!$C:$C,销售数据!$B:$B,汇总!F$3,销售数据!$A:$A,EOMONTH(DATE(2016,汇总!$B12,1),0))</f>
        <v>319.54218932094614</v>
      </c>
      <c r="G12" s="55">
        <f t="shared" si="0"/>
        <v>6553.6</v>
      </c>
      <c r="H12" s="33"/>
      <c r="I12" s="48">
        <f>SUMIFS(销售数据!$C:$C,销售数据!$B:$B,汇总!I$3,销售数据!$A:$A,EOMONTH(DATE(2017,汇总!$B12,1),0))</f>
        <v>5248.0860307273124</v>
      </c>
      <c r="J12" s="49">
        <f>SUMIFS(销售数据!$C:$C,销售数据!$B:$B,汇总!J$3,销售数据!$A:$A,EOMONTH(DATE(2017,汇总!$B12,1),0))</f>
        <v>1879.9997111107466</v>
      </c>
      <c r="K12" s="49">
        <f>SUMIFS(销售数据!$C:$C,销售数据!$B:$B,汇总!K$3,销售数据!$A:$A,EOMONTH(DATE(2017,汇总!$B12,1),0))</f>
        <v>166.41635096761487</v>
      </c>
      <c r="L12" s="49">
        <f>SUMIFS(销售数据!$C:$C,销售数据!$B:$B,汇总!L$3,销售数据!$A:$A,EOMONTH(DATE(2017,汇总!$B12,1),0))</f>
        <v>373.89790719432733</v>
      </c>
      <c r="M12" s="59">
        <f t="shared" si="1"/>
        <v>7668.4000000000015</v>
      </c>
      <c r="N12" s="61">
        <f t="shared" si="11"/>
        <v>0.17010498046875022</v>
      </c>
      <c r="O12" s="33"/>
      <c r="P12" s="62">
        <f t="shared" ca="1" si="12"/>
        <v>6164.0545063473792</v>
      </c>
      <c r="Q12" s="63">
        <f t="shared" ca="1" si="2"/>
        <v>2208.1232326136187</v>
      </c>
      <c r="R12" s="63">
        <f t="shared" ca="1" si="3"/>
        <v>195.46163155592399</v>
      </c>
      <c r="S12" s="63">
        <f t="shared" ca="1" si="4"/>
        <v>439.15573530254119</v>
      </c>
      <c r="T12" s="64">
        <f ca="1">VLOOKUP(EOMONTH(DATE(2018,$B12,1),0),时间序列预测工具!$C:$K,9,0)</f>
        <v>9006.7951058194631</v>
      </c>
      <c r="U12" s="65">
        <f t="shared" ca="1" si="13"/>
        <v>0.17453381485309349</v>
      </c>
      <c r="W12" s="96">
        <f t="shared" ca="1" si="14"/>
        <v>0.1392978004075005</v>
      </c>
      <c r="X12" s="97">
        <f t="shared" ca="1" si="5"/>
        <v>0.10406178596190796</v>
      </c>
      <c r="Y12" s="97">
        <f t="shared" ca="1" si="5"/>
        <v>0.12755246225896966</v>
      </c>
      <c r="Z12" s="97">
        <f t="shared" ca="1" si="5"/>
        <v>0.11580712411043881</v>
      </c>
      <c r="AA12" s="80">
        <f t="shared" ca="1" si="15"/>
        <v>0.12925901422002739</v>
      </c>
      <c r="AC12" s="90">
        <f t="shared" ca="1" si="16"/>
        <v>0.1545338148530935</v>
      </c>
      <c r="AD12" s="91">
        <f t="shared" ca="1" si="6"/>
        <v>0.1545338148530935</v>
      </c>
      <c r="AE12" s="91">
        <f t="shared" ca="1" si="6"/>
        <v>0.1545338148530935</v>
      </c>
      <c r="AF12" s="91">
        <f t="shared" ca="1" si="6"/>
        <v>0.1545338148530935</v>
      </c>
      <c r="AG12" s="61">
        <f t="shared" ca="1" si="17"/>
        <v>0.15453381485309348</v>
      </c>
      <c r="AI12" s="48">
        <f t="shared" ca="1" si="18"/>
        <v>5979.1328711569577</v>
      </c>
      <c r="AJ12" s="49">
        <f t="shared" ca="1" si="7"/>
        <v>2075.6358386568018</v>
      </c>
      <c r="AK12" s="49">
        <f t="shared" ca="1" si="7"/>
        <v>187.64316629368702</v>
      </c>
      <c r="AL12" s="49">
        <f t="shared" ca="1" si="7"/>
        <v>417.19794853741411</v>
      </c>
      <c r="AM12" s="55">
        <f t="shared" ca="1" si="8"/>
        <v>8659.6098246448601</v>
      </c>
      <c r="AO12" s="48">
        <f t="shared" ca="1" si="19"/>
        <v>6059.0927857328334</v>
      </c>
      <c r="AP12" s="49">
        <f t="shared" ca="1" si="9"/>
        <v>2170.523238391404</v>
      </c>
      <c r="AQ12" s="49">
        <f t="shared" ca="1" si="9"/>
        <v>192.1333045365717</v>
      </c>
      <c r="AR12" s="49">
        <f t="shared" ca="1" si="9"/>
        <v>431.67777715865464</v>
      </c>
      <c r="AS12" s="55">
        <f t="shared" ca="1" si="10"/>
        <v>8853.4271058194645</v>
      </c>
    </row>
    <row r="13" spans="2:45" x14ac:dyDescent="0.2">
      <c r="B13" s="38">
        <v>10</v>
      </c>
      <c r="C13" s="48">
        <f>SUMIFS(销售数据!$C:$C,销售数据!$B:$B,汇总!C$3,销售数据!$A:$A,EOMONTH(DATE(2016,汇总!$B13,1),0))</f>
        <v>4789.0735508346606</v>
      </c>
      <c r="D13" s="49">
        <f>SUMIFS(销售数据!$C:$C,销售数据!$B:$B,汇总!D$3,销售数据!$A:$A,EOMONTH(DATE(2016,汇总!$B13,1),0))</f>
        <v>1715.5696075373833</v>
      </c>
      <c r="E13" s="49">
        <f>SUMIFS(销售数据!$C:$C,销售数据!$B:$B,汇总!E$3,销售数据!$A:$A,EOMONTH(DATE(2016,汇总!$B13,1),0))</f>
        <v>151.86110520657223</v>
      </c>
      <c r="F13" s="49">
        <f>SUMIFS(销售数据!$C:$C,销售数据!$B:$B,汇总!F$3,销售数据!$A:$A,EOMONTH(DATE(2016,汇总!$B13,1),0))</f>
        <v>341.19573642138437</v>
      </c>
      <c r="G13" s="55">
        <f t="shared" si="0"/>
        <v>6997.7000000000007</v>
      </c>
      <c r="H13" s="33"/>
      <c r="I13" s="48">
        <f>SUMIFS(销售数据!$C:$C,销售数据!$B:$B,汇总!I$3,销售数据!$A:$A,EOMONTH(DATE(2017,汇总!$B13,1),0))</f>
        <v>5655.0173271999092</v>
      </c>
      <c r="J13" s="49">
        <f>SUMIFS(销售数据!$C:$C,销售数据!$B:$B,汇总!J$3,销售数据!$A:$A,EOMONTH(DATE(2017,汇总!$B13,1),0))</f>
        <v>2025.7729921376167</v>
      </c>
      <c r="K13" s="49">
        <f>SUMIFS(销售数据!$C:$C,销售数据!$B:$B,汇总!K$3,销售数据!$A:$A,EOMONTH(DATE(2017,汇总!$B13,1),0))</f>
        <v>179.32010693826638</v>
      </c>
      <c r="L13" s="49">
        <f>SUMIFS(销售数据!$C:$C,销售数据!$B:$B,汇总!L$3,销售数据!$A:$A,EOMONTH(DATE(2017,汇总!$B13,1),0))</f>
        <v>402.88957372420936</v>
      </c>
      <c r="M13" s="59">
        <f t="shared" si="1"/>
        <v>8263.0000000000018</v>
      </c>
      <c r="N13" s="61">
        <f t="shared" si="11"/>
        <v>0.1808165540106037</v>
      </c>
      <c r="O13" s="33"/>
      <c r="P13" s="62">
        <f t="shared" ca="1" si="12"/>
        <v>6582.9979450210949</v>
      </c>
      <c r="Q13" s="63">
        <f t="shared" ca="1" si="2"/>
        <v>2358.1995726482305</v>
      </c>
      <c r="R13" s="63">
        <f t="shared" ca="1" si="3"/>
        <v>208.74629150961047</v>
      </c>
      <c r="S13" s="63">
        <f t="shared" ca="1" si="4"/>
        <v>469.00320236686991</v>
      </c>
      <c r="T13" s="64">
        <f ca="1">VLOOKUP(EOMONTH(DATE(2018,$B13,1),0),时间序列预测工具!$C:$K,9,0)</f>
        <v>9618.9470115458062</v>
      </c>
      <c r="U13" s="65">
        <f t="shared" ca="1" si="13"/>
        <v>0.1640986338552346</v>
      </c>
      <c r="W13" s="96">
        <f t="shared" ca="1" si="14"/>
        <v>9.4252715823920585E-2</v>
      </c>
      <c r="X13" s="97">
        <f t="shared" ca="1" si="5"/>
        <v>0.10589370216247285</v>
      </c>
      <c r="Y13" s="97">
        <f t="shared" ca="1" si="5"/>
        <v>9.4252715823920585E-2</v>
      </c>
      <c r="Z13" s="97">
        <f t="shared" ca="1" si="5"/>
        <v>0.12917567483957759</v>
      </c>
      <c r="AA13" s="80">
        <f t="shared" ca="1" si="15"/>
        <v>9.8809425469023937E-2</v>
      </c>
      <c r="AC13" s="90">
        <f t="shared" ca="1" si="16"/>
        <v>0.14409863385523461</v>
      </c>
      <c r="AD13" s="91">
        <f t="shared" ca="1" si="6"/>
        <v>0.14409863385523461</v>
      </c>
      <c r="AE13" s="91">
        <f t="shared" ca="1" si="6"/>
        <v>0.14409863385523461</v>
      </c>
      <c r="AF13" s="91">
        <f t="shared" ca="1" si="6"/>
        <v>0.14409863385523461</v>
      </c>
      <c r="AG13" s="61">
        <f t="shared" ca="1" si="17"/>
        <v>0.14409863385523458</v>
      </c>
      <c r="AI13" s="48">
        <f t="shared" ca="1" si="18"/>
        <v>6188.0180683198296</v>
      </c>
      <c r="AJ13" s="49">
        <f t="shared" ca="1" si="7"/>
        <v>2240.2895940158191</v>
      </c>
      <c r="AK13" s="49">
        <f t="shared" ca="1" si="7"/>
        <v>196.22151401903383</v>
      </c>
      <c r="AL13" s="49">
        <f t="shared" ca="1" si="7"/>
        <v>454.93310629586381</v>
      </c>
      <c r="AM13" s="55">
        <f t="shared" ca="1" si="8"/>
        <v>9079.4622826505474</v>
      </c>
      <c r="AO13" s="48">
        <f t="shared" ca="1" si="19"/>
        <v>6469.8975984770968</v>
      </c>
      <c r="AP13" s="49">
        <f t="shared" ca="1" si="9"/>
        <v>2317.6841128054784</v>
      </c>
      <c r="AQ13" s="49">
        <f t="shared" ca="1" si="9"/>
        <v>205.15988937084515</v>
      </c>
      <c r="AR13" s="49">
        <f t="shared" ca="1" si="9"/>
        <v>460.94541089238578</v>
      </c>
      <c r="AS13" s="55">
        <f t="shared" ca="1" si="10"/>
        <v>9453.6870115458059</v>
      </c>
    </row>
    <row r="14" spans="2:45" x14ac:dyDescent="0.2">
      <c r="B14" s="38">
        <v>11</v>
      </c>
      <c r="C14" s="48">
        <f>SUMIFS(销售数据!$C:$C,销售数据!$B:$B,汇总!C$3,销售数据!$A:$A,EOMONTH(DATE(2016,汇总!$B14,1),0))</f>
        <v>4668.6229820839426</v>
      </c>
      <c r="D14" s="49">
        <f>SUMIFS(销售数据!$C:$C,销售数据!$B:$B,汇总!D$3,销售数据!$A:$A,EOMONTH(DATE(2016,汇总!$B14,1),0))</f>
        <v>1672.4211086125108</v>
      </c>
      <c r="E14" s="49">
        <f>SUMIFS(销售数据!$C:$C,销售数据!$B:$B,汇总!E$3,销售数据!$A:$A,EOMONTH(DATE(2016,汇总!$B14,1),0))</f>
        <v>148.04162816177796</v>
      </c>
      <c r="F14" s="49">
        <f>SUMIFS(销售数据!$C:$C,销售数据!$B:$B,汇总!F$3,销售数据!$A:$A,EOMONTH(DATE(2016,汇总!$B14,1),0))</f>
        <v>332.61428114176908</v>
      </c>
      <c r="G14" s="55">
        <f t="shared" si="0"/>
        <v>6821.7000000000007</v>
      </c>
      <c r="H14" s="33"/>
      <c r="I14" s="62">
        <f ca="1">C14+C14*$N14</f>
        <v>5579.9598305108402</v>
      </c>
      <c r="J14" s="63">
        <f t="shared" ref="J14:J15" ca="1" si="20">D14+D14*$N14</f>
        <v>1998.8854618521059</v>
      </c>
      <c r="K14" s="63">
        <f t="shared" ref="K14:K15" ca="1" si="21">E14+E14*$N14</f>
        <v>176.94004025516975</v>
      </c>
      <c r="L14" s="63">
        <f t="shared" ref="L14:L15" ca="1" si="22">F14+F14*$N14</f>
        <v>397.54213071985004</v>
      </c>
      <c r="M14" s="64">
        <f ca="1">VLOOKUP(EOMONTH(DATE(2017,$B14,1),0),时间序列预测工具!$C:$K,9,0)</f>
        <v>8153.3274633379669</v>
      </c>
      <c r="N14" s="65">
        <f t="shared" ca="1" si="11"/>
        <v>0.19520463569754831</v>
      </c>
      <c r="O14" s="33"/>
      <c r="P14" s="62">
        <f t="shared" ca="1" si="12"/>
        <v>6555.1652214193</v>
      </c>
      <c r="Q14" s="63">
        <f t="shared" ca="1" si="2"/>
        <v>2348.2291735304498</v>
      </c>
      <c r="R14" s="63">
        <f t="shared" ca="1" si="3"/>
        <v>207.86371826820741</v>
      </c>
      <c r="S14" s="63">
        <f t="shared" ca="1" si="4"/>
        <v>467.02027048555175</v>
      </c>
      <c r="T14" s="64">
        <f ca="1">VLOOKUP(EOMONTH(DATE(2018,$B14,1),0),时间序列预测工具!$C:$K,9,0)</f>
        <v>9578.2783837035113</v>
      </c>
      <c r="U14" s="65">
        <f t="shared" ca="1" si="13"/>
        <v>0.17476924933690441</v>
      </c>
      <c r="W14" s="96">
        <f t="shared" ca="1" si="14"/>
        <v>0.13952617185679728</v>
      </c>
      <c r="X14" s="97">
        <f t="shared" ca="1" si="5"/>
        <v>0.13952617185679728</v>
      </c>
      <c r="Y14" s="97">
        <f t="shared" ca="1" si="5"/>
        <v>0.10428309437669014</v>
      </c>
      <c r="Z14" s="97">
        <f t="shared" ca="1" si="5"/>
        <v>0.10428309437669014</v>
      </c>
      <c r="AA14" s="80">
        <f t="shared" ca="1" si="15"/>
        <v>0.13704295015944079</v>
      </c>
      <c r="AC14" s="90">
        <f t="shared" ca="1" si="16"/>
        <v>0.15476924933690442</v>
      </c>
      <c r="AD14" s="91">
        <f t="shared" ca="1" si="6"/>
        <v>0.15476924933690442</v>
      </c>
      <c r="AE14" s="91">
        <f t="shared" ca="1" si="6"/>
        <v>0.15476924933690442</v>
      </c>
      <c r="AF14" s="91">
        <f t="shared" ca="1" si="6"/>
        <v>0.15476924933690442</v>
      </c>
      <c r="AG14" s="61">
        <f t="shared" ca="1" si="17"/>
        <v>0.15476924933690417</v>
      </c>
      <c r="AI14" s="48">
        <f t="shared" ca="1" si="18"/>
        <v>6358.5102647767208</v>
      </c>
      <c r="AJ14" s="49">
        <f t="shared" ca="1" si="7"/>
        <v>2277.7822983245364</v>
      </c>
      <c r="AK14" s="49">
        <f t="shared" ca="1" si="7"/>
        <v>195.39189517211497</v>
      </c>
      <c r="AL14" s="49">
        <f t="shared" ca="1" si="7"/>
        <v>438.99905425641862</v>
      </c>
      <c r="AM14" s="55">
        <f t="shared" ca="1" si="8"/>
        <v>9270.6835125297912</v>
      </c>
      <c r="AO14" s="48">
        <f t="shared" ca="1" si="19"/>
        <v>6443.5660248090835</v>
      </c>
      <c r="AP14" s="49">
        <f t="shared" ca="1" si="9"/>
        <v>2308.2514642934079</v>
      </c>
      <c r="AQ14" s="49">
        <f t="shared" ca="1" si="9"/>
        <v>204.32491746310401</v>
      </c>
      <c r="AR14" s="49">
        <f t="shared" ca="1" si="9"/>
        <v>459.06942787115474</v>
      </c>
      <c r="AS14" s="55">
        <f t="shared" ca="1" si="10"/>
        <v>9415.21183443675</v>
      </c>
    </row>
    <row r="15" spans="2:45" ht="15" thickBot="1" x14ac:dyDescent="0.25">
      <c r="B15" s="39">
        <v>12</v>
      </c>
      <c r="C15" s="50">
        <f>SUMIFS(销售数据!$C:$C,销售数据!$B:$B,汇总!C$3,销售数据!$A:$A,EOMONTH(DATE(2016,汇总!$B15,1),0))</f>
        <v>5132.2892339510536</v>
      </c>
      <c r="D15" s="51">
        <f>SUMIFS(销售数据!$C:$C,销售数据!$B:$B,汇总!D$3,销售数据!$A:$A,EOMONTH(DATE(2016,汇总!$B15,1),0))</f>
        <v>1838.5183132806985</v>
      </c>
      <c r="E15" s="51">
        <f>SUMIFS(销售数据!$C:$C,销售数据!$B:$B,汇总!E$3,销售数据!$A:$A,EOMONTH(DATE(2016,汇总!$B15,1),0))</f>
        <v>162.74444462682405</v>
      </c>
      <c r="F15" s="51">
        <f>SUMIFS(销售数据!$C:$C,销售数据!$B:$B,汇总!F$3,销售数据!$A:$A,EOMONTH(DATE(2016,汇总!$B15,1),0))</f>
        <v>365.6480081414245</v>
      </c>
      <c r="G15" s="56">
        <f t="shared" si="0"/>
        <v>7499.2000000000007</v>
      </c>
      <c r="H15" s="33"/>
      <c r="I15" s="66">
        <f t="shared" ref="I15" ca="1" si="23">C15+C15*$N15</f>
        <v>6287.2170729525369</v>
      </c>
      <c r="J15" s="67">
        <f t="shared" ca="1" si="20"/>
        <v>2252.2432390848662</v>
      </c>
      <c r="K15" s="67">
        <f t="shared" ca="1" si="21"/>
        <v>199.36710581648899</v>
      </c>
      <c r="L15" s="67">
        <f t="shared" ca="1" si="22"/>
        <v>447.93040584504536</v>
      </c>
      <c r="M15" s="68">
        <f ca="1">VLOOKUP(EOMONTH(DATE(2017,$B15,1),0),时间序列预测工具!$C:$K,9,0)</f>
        <v>9186.7578236989375</v>
      </c>
      <c r="N15" s="69">
        <f t="shared" ca="1" si="11"/>
        <v>0.22503171320926718</v>
      </c>
      <c r="O15" s="33"/>
      <c r="P15" s="66">
        <f t="shared" ca="1" si="12"/>
        <v>7386.0292812106227</v>
      </c>
      <c r="Q15" s="67">
        <f t="shared" ca="1" si="2"/>
        <v>2645.866099303847</v>
      </c>
      <c r="R15" s="67">
        <f t="shared" ca="1" si="3"/>
        <v>234.210345242508</v>
      </c>
      <c r="S15" s="67">
        <f t="shared" ca="1" si="4"/>
        <v>526.21486662975894</v>
      </c>
      <c r="T15" s="68">
        <f ca="1">VLOOKUP(EOMONTH(DATE(2018,$B15,1),0),时间序列预测工具!$C:$K,9,0)</f>
        <v>10792.320592386737</v>
      </c>
      <c r="U15" s="69">
        <f t="shared" ca="1" si="13"/>
        <v>0.17476924933690463</v>
      </c>
      <c r="W15" s="98">
        <f t="shared" ca="1" si="14"/>
        <v>0.12777847936342845</v>
      </c>
      <c r="X15" s="99">
        <f t="shared" ca="1" si="5"/>
        <v>0.10428309437669037</v>
      </c>
      <c r="Y15" s="99">
        <f t="shared" ca="1" si="5"/>
        <v>0.10428309437669037</v>
      </c>
      <c r="Z15" s="99">
        <f t="shared" ca="1" si="5"/>
        <v>0.12777847936342845</v>
      </c>
      <c r="AA15" s="81">
        <f t="shared" ca="1" si="15"/>
        <v>0.12150841869606932</v>
      </c>
      <c r="AC15" s="92">
        <f t="shared" ca="1" si="16"/>
        <v>0.15476924933690464</v>
      </c>
      <c r="AD15" s="93">
        <f t="shared" ca="1" si="6"/>
        <v>0.15476924933690464</v>
      </c>
      <c r="AE15" s="93">
        <f t="shared" ca="1" si="6"/>
        <v>0.15476924933690464</v>
      </c>
      <c r="AF15" s="93">
        <f t="shared" ca="1" si="6"/>
        <v>0.15476924933690464</v>
      </c>
      <c r="AG15" s="83">
        <f t="shared" ca="1" si="17"/>
        <v>0.15476924933690483</v>
      </c>
      <c r="AI15" s="50">
        <f t="shared" ca="1" si="18"/>
        <v>7090.5881099621974</v>
      </c>
      <c r="AJ15" s="51">
        <f t="shared" ca="1" si="7"/>
        <v>2487.1141333456162</v>
      </c>
      <c r="AK15" s="51">
        <f t="shared" ca="1" si="7"/>
        <v>220.15772452795753</v>
      </c>
      <c r="AL15" s="51">
        <f t="shared" ca="1" si="7"/>
        <v>505.16627196456858</v>
      </c>
      <c r="AM15" s="56">
        <f t="shared" ca="1" si="8"/>
        <v>10303.026239800338</v>
      </c>
      <c r="AO15" s="50">
        <f t="shared" ca="1" si="19"/>
        <v>7260.284939751572</v>
      </c>
      <c r="AP15" s="51">
        <f t="shared" ca="1" si="9"/>
        <v>2600.8212345221496</v>
      </c>
      <c r="AQ15" s="51">
        <f t="shared" ca="1" si="9"/>
        <v>230.22300312617821</v>
      </c>
      <c r="AR15" s="51">
        <f t="shared" ca="1" si="9"/>
        <v>517.25625851285804</v>
      </c>
      <c r="AS15" s="56">
        <f t="shared" ca="1" si="10"/>
        <v>10608.585435912759</v>
      </c>
    </row>
    <row r="16" spans="2:45" ht="15" thickBot="1" x14ac:dyDescent="0.25">
      <c r="B16" s="40" t="s">
        <v>41</v>
      </c>
      <c r="C16" s="52">
        <f>SUM(C4:C15)</f>
        <v>52293.340671831662</v>
      </c>
      <c r="D16" s="53">
        <f>SUM(D4:D15)</f>
        <v>18732.822743463064</v>
      </c>
      <c r="E16" s="53">
        <f>SUM(E4:E15)</f>
        <v>1658.2172783677759</v>
      </c>
      <c r="F16" s="53">
        <f>SUM(F4:F15)</f>
        <v>3725.6193063375085</v>
      </c>
      <c r="G16" s="57">
        <f t="shared" si="0"/>
        <v>76410.000000000015</v>
      </c>
      <c r="H16" s="33"/>
      <c r="I16" s="70">
        <f ca="1">SUM(I4:I15)</f>
        <v>61204.00361505014</v>
      </c>
      <c r="J16" s="71">
        <f ca="1">SUM(J4:J15)</f>
        <v>21924.851925334984</v>
      </c>
      <c r="K16" s="71">
        <f ca="1">SUM(K4:K15)</f>
        <v>1940.7736242490305</v>
      </c>
      <c r="L16" s="71">
        <f ca="1">SUM(L4:L15)</f>
        <v>4360.4561224027566</v>
      </c>
      <c r="M16" s="72">
        <f ca="1">SUM(M4:M15)</f>
        <v>89430.085287036913</v>
      </c>
      <c r="N16" s="73">
        <f t="shared" ca="1" si="11"/>
        <v>0.17039766113122501</v>
      </c>
      <c r="O16" s="33"/>
      <c r="P16" s="70">
        <f ca="1">SUM(P4:P15)</f>
        <v>71691.28634819451</v>
      </c>
      <c r="Q16" s="71">
        <f ca="1">SUM(Q4:Q15)</f>
        <v>25681.666960990136</v>
      </c>
      <c r="R16" s="71">
        <f ca="1">SUM(R4:R15)</f>
        <v>2273.3244463577321</v>
      </c>
      <c r="S16" s="71">
        <f ca="1">SUM(S4:S15)</f>
        <v>5107.618619953214</v>
      </c>
      <c r="T16" s="72">
        <f ca="1">SUM(T4:T15)</f>
        <v>104753.89637549559</v>
      </c>
      <c r="U16" s="73">
        <f t="shared" ca="1" si="13"/>
        <v>0.17134961952988204</v>
      </c>
      <c r="W16" s="100">
        <f t="shared" ca="1" si="14"/>
        <v>0.11432155214677819</v>
      </c>
      <c r="X16" s="101">
        <f t="shared" ca="1" si="5"/>
        <v>0.11812868504875151</v>
      </c>
      <c r="Y16" s="101">
        <f t="shared" ca="1" si="5"/>
        <v>0.11494845177995638</v>
      </c>
      <c r="Z16" s="101">
        <f t="shared" ca="1" si="5"/>
        <v>0.11970575774411252</v>
      </c>
      <c r="AA16" s="82">
        <f t="shared" ca="1" si="15"/>
        <v>0.11553104543220849</v>
      </c>
      <c r="AC16" s="102">
        <f t="shared" ca="1" si="16"/>
        <v>0.17134961952988204</v>
      </c>
      <c r="AD16" s="103">
        <f t="shared" ca="1" si="6"/>
        <v>0.17134961952988204</v>
      </c>
      <c r="AE16" s="103">
        <f t="shared" ca="1" si="6"/>
        <v>0.17134961952988204</v>
      </c>
      <c r="AF16" s="103">
        <f t="shared" ca="1" si="6"/>
        <v>0.17134961952988204</v>
      </c>
      <c r="AG16" s="84">
        <f t="shared" ca="1" si="17"/>
        <v>0.17134961952988181</v>
      </c>
      <c r="AI16" s="52">
        <f t="shared" ca="1" si="18"/>
        <v>68200.940305919692</v>
      </c>
      <c r="AJ16" s="53">
        <f t="shared" ca="1" si="7"/>
        <v>24514.805853163394</v>
      </c>
      <c r="AK16" s="53">
        <f t="shared" ca="1" si="7"/>
        <v>2163.8625476118314</v>
      </c>
      <c r="AL16" s="53">
        <f t="shared" ca="1" si="7"/>
        <v>4882.4278266449328</v>
      </c>
      <c r="AM16" s="57">
        <f t="shared" ca="1" si="8"/>
        <v>99762.036533339851</v>
      </c>
      <c r="AO16" s="52">
        <f t="shared" ca="1" si="19"/>
        <v>71691.28634819451</v>
      </c>
      <c r="AP16" s="53">
        <f t="shared" ca="1" si="9"/>
        <v>25681.666960990136</v>
      </c>
      <c r="AQ16" s="53">
        <f t="shared" ca="1" si="9"/>
        <v>2273.3244463577321</v>
      </c>
      <c r="AR16" s="53">
        <f t="shared" ca="1" si="9"/>
        <v>5107.618619953214</v>
      </c>
      <c r="AS16" s="57">
        <f t="shared" ca="1" si="10"/>
        <v>104753.89637549558</v>
      </c>
    </row>
  </sheetData>
  <mergeCells count="8">
    <mergeCell ref="C2:G2"/>
    <mergeCell ref="B2:B3"/>
    <mergeCell ref="AO2:AS2"/>
    <mergeCell ref="AI2:AM2"/>
    <mergeCell ref="P2:U2"/>
    <mergeCell ref="I2:N2"/>
    <mergeCell ref="W2:AA2"/>
    <mergeCell ref="AC2:AG2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808CB-DD68-48AF-8A7E-94507F92204F}">
  <dimension ref="B1:P16"/>
  <sheetViews>
    <sheetView showGridLines="0" workbookViewId="0">
      <selection activeCell="G20" sqref="G20"/>
    </sheetView>
  </sheetViews>
  <sheetFormatPr defaultRowHeight="14.25" x14ac:dyDescent="0.2"/>
  <cols>
    <col min="1" max="1" width="1.875" customWidth="1"/>
    <col min="3" max="3" width="9" customWidth="1"/>
    <col min="4" max="4" width="9" collapsed="1"/>
    <col min="5" max="5" width="1.875" customWidth="1"/>
    <col min="6" max="6" width="9" customWidth="1"/>
    <col min="8" max="8" width="1.875" customWidth="1"/>
    <col min="11" max="11" width="1.875" customWidth="1"/>
  </cols>
  <sheetData>
    <row r="1" spans="2:16" ht="15" thickBot="1" x14ac:dyDescent="0.25"/>
    <row r="2" spans="2:16" x14ac:dyDescent="0.2">
      <c r="B2" s="118" t="s">
        <v>40</v>
      </c>
      <c r="C2" s="115" t="s">
        <v>50</v>
      </c>
      <c r="D2" s="117"/>
      <c r="E2" s="33"/>
      <c r="F2" s="120" t="s">
        <v>51</v>
      </c>
      <c r="G2" s="117"/>
      <c r="I2" s="121" t="s">
        <v>45</v>
      </c>
      <c r="J2" s="123"/>
      <c r="L2" s="120" t="s">
        <v>52</v>
      </c>
      <c r="M2" s="116"/>
      <c r="N2" s="117"/>
    </row>
    <row r="3" spans="2:16" ht="15" thickBot="1" x14ac:dyDescent="0.25">
      <c r="B3" s="119"/>
      <c r="C3" s="34">
        <v>2016</v>
      </c>
      <c r="D3" s="36">
        <v>2017</v>
      </c>
      <c r="E3" s="33"/>
      <c r="F3" s="42">
        <v>2018</v>
      </c>
      <c r="G3" s="36" t="s">
        <v>44</v>
      </c>
      <c r="I3" s="43">
        <v>2018</v>
      </c>
      <c r="J3" s="45" t="s">
        <v>44</v>
      </c>
      <c r="L3" s="42" t="s">
        <v>53</v>
      </c>
      <c r="M3" s="35">
        <v>2018</v>
      </c>
      <c r="N3" s="36" t="s">
        <v>44</v>
      </c>
      <c r="P3" t="s">
        <v>54</v>
      </c>
    </row>
    <row r="4" spans="2:16" x14ac:dyDescent="0.2">
      <c r="B4" s="37">
        <v>1</v>
      </c>
      <c r="C4" s="46">
        <f ca="1">OFFSET(汇总!$B4,,MATCH($P$3,汇总!$C$3:$F$3,0))</f>
        <v>4545.3664625839183</v>
      </c>
      <c r="D4" s="54">
        <f ca="1">OFFSET(汇总!$H4,,MATCH($P$3,汇总!$I$3:$L$3,0))</f>
        <v>5124.8295112272872</v>
      </c>
      <c r="E4" s="78"/>
      <c r="F4" s="46">
        <f ca="1">OFFSET(汇总!$O4,,MATCH($P$3,汇总!$P$3:$S$3,0))</f>
        <v>6104.4907724109853</v>
      </c>
      <c r="G4" s="60">
        <f ca="1">F4/D4-1</f>
        <v>0.19115977595693523</v>
      </c>
      <c r="I4" s="46">
        <v>5738.2213260663266</v>
      </c>
      <c r="J4" s="60">
        <f ca="1">I4/D4-1</f>
        <v>0.11969018939951925</v>
      </c>
      <c r="L4" s="85">
        <v>-0.02</v>
      </c>
      <c r="M4" s="47">
        <f ca="1">D4+D4*(G4+L4)</f>
        <v>6001.9941821864395</v>
      </c>
      <c r="N4" s="60">
        <f ca="1">G4+L4</f>
        <v>0.17115977595693524</v>
      </c>
    </row>
    <row r="5" spans="2:16" x14ac:dyDescent="0.2">
      <c r="B5" s="38">
        <v>2</v>
      </c>
      <c r="C5" s="48">
        <f ca="1">OFFSET(汇总!$B5,,MATCH($P$3,汇总!$C$3:$F$3,0))</f>
        <v>4107.56970786895</v>
      </c>
      <c r="D5" s="55">
        <f ca="1">OFFSET(汇总!$H5,,MATCH($P$3,汇总!$I$3:$L$3,0))</f>
        <v>4800.0236025392715</v>
      </c>
      <c r="E5" s="78"/>
      <c r="F5" s="48">
        <f ca="1">OFFSET(汇总!$O5,,MATCH($P$3,汇总!$P$3:$S$3,0))</f>
        <v>5658.5879979895071</v>
      </c>
      <c r="G5" s="61">
        <f t="shared" ref="G5:G16" ca="1" si="0">F5/D5-1</f>
        <v>0.17886670286288697</v>
      </c>
      <c r="I5" s="48">
        <v>5319.0727181101365</v>
      </c>
      <c r="J5" s="61">
        <f t="shared" ref="J5:J16" ca="1" si="1">I5/D5-1</f>
        <v>0.10813470069111353</v>
      </c>
      <c r="L5" s="86">
        <v>-0.02</v>
      </c>
      <c r="M5" s="49">
        <f t="shared" ref="M5:M15" ca="1" si="2">D5+D5*(G5+L5)</f>
        <v>5562.5875259387221</v>
      </c>
      <c r="N5" s="61">
        <f t="shared" ref="N5:N15" ca="1" si="3">G5+L5</f>
        <v>0.15886670286288698</v>
      </c>
    </row>
    <row r="6" spans="2:16" x14ac:dyDescent="0.2">
      <c r="B6" s="38">
        <v>3</v>
      </c>
      <c r="C6" s="48">
        <f ca="1">OFFSET(汇总!$B6,,MATCH($P$3,汇总!$C$3:$F$3,0))</f>
        <v>3967.1352947573168</v>
      </c>
      <c r="D6" s="55">
        <f ca="1">OFFSET(汇总!$H6,,MATCH($P$3,汇总!$I$3:$L$3,0))</f>
        <v>4575.6159804179051</v>
      </c>
      <c r="E6" s="78"/>
      <c r="F6" s="48">
        <f ca="1">OFFSET(汇总!$O6,,MATCH($P$3,汇总!$P$3:$S$3,0))</f>
        <v>5407.27176955504</v>
      </c>
      <c r="G6" s="61">
        <f t="shared" ca="1" si="0"/>
        <v>0.18175821412818327</v>
      </c>
      <c r="I6" s="48">
        <v>5082.835463381738</v>
      </c>
      <c r="J6" s="61">
        <f t="shared" ca="1" si="1"/>
        <v>0.11085272128049239</v>
      </c>
      <c r="L6" s="86">
        <v>-0.02</v>
      </c>
      <c r="M6" s="49">
        <f t="shared" ca="1" si="2"/>
        <v>5315.7594499466823</v>
      </c>
      <c r="N6" s="61">
        <f t="shared" ca="1" si="3"/>
        <v>0.16175821412818328</v>
      </c>
    </row>
    <row r="7" spans="2:16" x14ac:dyDescent="0.2">
      <c r="B7" s="38">
        <v>4</v>
      </c>
      <c r="C7" s="48">
        <f ca="1">OFFSET(汇总!$B7,,MATCH($P$3,汇总!$C$3:$F$3,0))</f>
        <v>3952.0105358403239</v>
      </c>
      <c r="D7" s="55">
        <f ca="1">OFFSET(汇总!$H7,,MATCH($P$3,汇总!$I$3:$L$3,0))</f>
        <v>4566.5137499384473</v>
      </c>
      <c r="E7" s="78"/>
      <c r="F7" s="48">
        <f ca="1">OFFSET(汇总!$O7,,MATCH($P$3,汇总!$P$3:$S$3,0))</f>
        <v>5330.4768765403915</v>
      </c>
      <c r="G7" s="61">
        <f t="shared" ca="1" si="0"/>
        <v>0.167296797608951</v>
      </c>
      <c r="I7" s="48">
        <v>5010.6482639479682</v>
      </c>
      <c r="J7" s="61">
        <f t="shared" ca="1" si="1"/>
        <v>9.7258989752413871E-2</v>
      </c>
      <c r="L7" s="86">
        <v>-0.02</v>
      </c>
      <c r="M7" s="49">
        <f t="shared" ca="1" si="2"/>
        <v>5239.1466015416227</v>
      </c>
      <c r="N7" s="61">
        <f t="shared" ca="1" si="3"/>
        <v>0.14729679760895101</v>
      </c>
    </row>
    <row r="8" spans="2:16" x14ac:dyDescent="0.2">
      <c r="B8" s="38">
        <v>5</v>
      </c>
      <c r="C8" s="48">
        <f ca="1">OFFSET(汇总!$B8,,MATCH($P$3,汇总!$C$3:$F$3,0))</f>
        <v>4226.4462066871311</v>
      </c>
      <c r="D8" s="55">
        <f ca="1">OFFSET(汇总!$H8,,MATCH($P$3,汇总!$I$3:$L$3,0))</f>
        <v>4898.4371922344608</v>
      </c>
      <c r="E8" s="78"/>
      <c r="F8" s="48">
        <f ca="1">OFFSET(汇总!$O8,,MATCH($P$3,汇总!$P$3:$S$3,0))</f>
        <v>5642.4529005291615</v>
      </c>
      <c r="G8" s="61">
        <f t="shared" ca="1" si="0"/>
        <v>0.15188838380416425</v>
      </c>
      <c r="I8" s="48">
        <v>5303.9057264974117</v>
      </c>
      <c r="J8" s="61">
        <f t="shared" ca="1" si="1"/>
        <v>8.2775080775914445E-2</v>
      </c>
      <c r="L8" s="86">
        <v>-0.02</v>
      </c>
      <c r="M8" s="49">
        <f t="shared" ca="1" si="2"/>
        <v>5544.4841566844716</v>
      </c>
      <c r="N8" s="61">
        <f t="shared" ca="1" si="3"/>
        <v>0.13188838380416426</v>
      </c>
    </row>
    <row r="9" spans="2:16" x14ac:dyDescent="0.2">
      <c r="B9" s="38">
        <v>6</v>
      </c>
      <c r="C9" s="48">
        <f ca="1">OFFSET(汇总!$B9,,MATCH($P$3,汇总!$C$3:$F$3,0))</f>
        <v>4145.8264510119334</v>
      </c>
      <c r="D9" s="55">
        <f ca="1">OFFSET(汇总!$H9,,MATCH($P$3,汇总!$I$3:$L$3,0))</f>
        <v>4808.4414547871911</v>
      </c>
      <c r="E9" s="78"/>
      <c r="F9" s="48">
        <f ca="1">OFFSET(汇总!$O9,,MATCH($P$3,汇总!$P$3:$S$3,0))</f>
        <v>5604.9833300097916</v>
      </c>
      <c r="G9" s="61">
        <f t="shared" ca="1" si="0"/>
        <v>0.16565489727021188</v>
      </c>
      <c r="I9" s="48">
        <v>5268.6843302092038</v>
      </c>
      <c r="J9" s="61">
        <f t="shared" ca="1" si="1"/>
        <v>9.5715603433999208E-2</v>
      </c>
      <c r="L9" s="86">
        <v>-0.02</v>
      </c>
      <c r="M9" s="49">
        <f t="shared" ca="1" si="2"/>
        <v>5508.814500914048</v>
      </c>
      <c r="N9" s="61">
        <f t="shared" ca="1" si="3"/>
        <v>0.14565489727021189</v>
      </c>
    </row>
    <row r="10" spans="2:16" x14ac:dyDescent="0.2">
      <c r="B10" s="38">
        <v>7</v>
      </c>
      <c r="C10" s="48">
        <f ca="1">OFFSET(汇总!$B10,,MATCH($P$3,汇总!$C$3:$F$3,0))</f>
        <v>4114.6188036537933</v>
      </c>
      <c r="D10" s="55">
        <f ca="1">OFFSET(汇总!$H10,,MATCH($P$3,汇总!$I$3:$L$3,0))</f>
        <v>4789.4157399504302</v>
      </c>
      <c r="E10" s="78"/>
      <c r="F10" s="48">
        <f ca="1">OFFSET(汇总!$O10,,MATCH($P$3,汇总!$P$3:$S$3,0))</f>
        <v>5580.9311255193261</v>
      </c>
      <c r="G10" s="61">
        <f t="shared" ca="1" si="0"/>
        <v>0.16526345352869454</v>
      </c>
      <c r="I10" s="48">
        <v>5357.693880498553</v>
      </c>
      <c r="J10" s="61">
        <f t="shared" ca="1" si="1"/>
        <v>0.11865291538754663</v>
      </c>
      <c r="L10" s="86">
        <v>-0.02</v>
      </c>
      <c r="M10" s="49">
        <f t="shared" ca="1" si="2"/>
        <v>5485.1428107203174</v>
      </c>
      <c r="N10" s="61">
        <f t="shared" ca="1" si="3"/>
        <v>0.14526345352869455</v>
      </c>
    </row>
    <row r="11" spans="2:16" x14ac:dyDescent="0.2">
      <c r="B11" s="38">
        <v>8</v>
      </c>
      <c r="C11" s="48">
        <f ca="1">OFFSET(汇总!$B11,,MATCH($P$3,汇总!$C$3:$F$3,0))</f>
        <v>4159.2402643500818</v>
      </c>
      <c r="D11" s="55">
        <f ca="1">OFFSET(汇总!$H11,,MATCH($P$3,汇总!$I$3:$L$3,0))</f>
        <v>4870.44612256455</v>
      </c>
      <c r="E11" s="78"/>
      <c r="F11" s="48">
        <f ca="1">OFFSET(汇总!$O11,,MATCH($P$3,汇总!$P$3:$S$3,0))</f>
        <v>5673.8446216419115</v>
      </c>
      <c r="G11" s="61">
        <f t="shared" ca="1" si="0"/>
        <v>0.16495378017944873</v>
      </c>
      <c r="I11" s="48">
        <v>5503.6292829926542</v>
      </c>
      <c r="J11" s="61">
        <f t="shared" ca="1" si="1"/>
        <v>0.13000516677406537</v>
      </c>
      <c r="L11" s="86">
        <v>-0.02</v>
      </c>
      <c r="M11" s="49">
        <f t="shared" ca="1" si="2"/>
        <v>5576.4356991906207</v>
      </c>
      <c r="N11" s="61">
        <f t="shared" ca="1" si="3"/>
        <v>0.14495378017944874</v>
      </c>
    </row>
    <row r="12" spans="2:16" x14ac:dyDescent="0.2">
      <c r="B12" s="38">
        <v>9</v>
      </c>
      <c r="C12" s="48">
        <f ca="1">OFFSET(汇总!$B12,,MATCH($P$3,汇总!$C$3:$F$3,0))</f>
        <v>4485.1411782085588</v>
      </c>
      <c r="D12" s="55">
        <f ca="1">OFFSET(汇总!$H12,,MATCH($P$3,汇总!$I$3:$L$3,0))</f>
        <v>5248.0860307273124</v>
      </c>
      <c r="E12" s="78"/>
      <c r="F12" s="48">
        <f ca="1">OFFSET(汇总!$O12,,MATCH($P$3,汇总!$P$3:$S$3,0))</f>
        <v>6164.0545063473792</v>
      </c>
      <c r="G12" s="61">
        <f t="shared" ca="1" si="0"/>
        <v>0.17453381485309349</v>
      </c>
      <c r="I12" s="48">
        <v>5979.1328711569577</v>
      </c>
      <c r="J12" s="61">
        <f t="shared" ca="1" si="1"/>
        <v>0.1392978004075005</v>
      </c>
      <c r="L12" s="86">
        <v>-0.02</v>
      </c>
      <c r="M12" s="49">
        <f t="shared" ca="1" si="2"/>
        <v>6059.0927857328334</v>
      </c>
      <c r="N12" s="61">
        <f t="shared" ca="1" si="3"/>
        <v>0.1545338148530935</v>
      </c>
    </row>
    <row r="13" spans="2:16" x14ac:dyDescent="0.2">
      <c r="B13" s="38">
        <v>10</v>
      </c>
      <c r="C13" s="48">
        <f ca="1">OFFSET(汇总!$B13,,MATCH($P$3,汇总!$C$3:$F$3,0))</f>
        <v>4789.0735508346606</v>
      </c>
      <c r="D13" s="55">
        <f ca="1">OFFSET(汇总!$H13,,MATCH($P$3,汇总!$I$3:$L$3,0))</f>
        <v>5655.0173271999092</v>
      </c>
      <c r="E13" s="78"/>
      <c r="F13" s="48">
        <f ca="1">OFFSET(汇总!$O13,,MATCH($P$3,汇总!$P$3:$S$3,0))</f>
        <v>6582.9979450210949</v>
      </c>
      <c r="G13" s="61">
        <f t="shared" ca="1" si="0"/>
        <v>0.1640986338552346</v>
      </c>
      <c r="I13" s="48">
        <v>6188.0180683198296</v>
      </c>
      <c r="J13" s="61">
        <f t="shared" ca="1" si="1"/>
        <v>9.4252715823920585E-2</v>
      </c>
      <c r="L13" s="86">
        <v>-0.02</v>
      </c>
      <c r="M13" s="49">
        <f t="shared" ca="1" si="2"/>
        <v>6469.8975984770968</v>
      </c>
      <c r="N13" s="61">
        <f t="shared" ca="1" si="3"/>
        <v>0.14409863385523461</v>
      </c>
    </row>
    <row r="14" spans="2:16" x14ac:dyDescent="0.2">
      <c r="B14" s="38">
        <v>11</v>
      </c>
      <c r="C14" s="48">
        <f ca="1">OFFSET(汇总!$B14,,MATCH($P$3,汇总!$C$3:$F$3,0))</f>
        <v>4668.6229820839426</v>
      </c>
      <c r="D14" s="55">
        <f ca="1">OFFSET(汇总!$H14,,MATCH($P$3,汇总!$I$3:$L$3,0))</f>
        <v>5579.9598305108402</v>
      </c>
      <c r="E14" s="78"/>
      <c r="F14" s="48">
        <f ca="1">OFFSET(汇总!$O14,,MATCH($P$3,汇总!$P$3:$S$3,0))</f>
        <v>6555.1652214193</v>
      </c>
      <c r="G14" s="61">
        <f t="shared" ca="1" si="0"/>
        <v>0.17476924933690441</v>
      </c>
      <c r="I14" s="48">
        <v>6358.5102647767208</v>
      </c>
      <c r="J14" s="61">
        <f t="shared" ca="1" si="1"/>
        <v>0.13952617185679728</v>
      </c>
      <c r="L14" s="86">
        <v>-0.02</v>
      </c>
      <c r="M14" s="49">
        <f t="shared" ca="1" si="2"/>
        <v>6443.5660248090835</v>
      </c>
      <c r="N14" s="61">
        <f t="shared" ca="1" si="3"/>
        <v>0.15476924933690442</v>
      </c>
    </row>
    <row r="15" spans="2:16" ht="15" thickBot="1" x14ac:dyDescent="0.25">
      <c r="B15" s="39">
        <v>12</v>
      </c>
      <c r="C15" s="50">
        <f ca="1">OFFSET(汇总!$B15,,MATCH($P$3,汇总!$C$3:$F$3,0))</f>
        <v>5132.2892339510536</v>
      </c>
      <c r="D15" s="56">
        <f ca="1">OFFSET(汇总!$H15,,MATCH($P$3,汇总!$I$3:$L$3,0))</f>
        <v>6287.2170729525369</v>
      </c>
      <c r="E15" s="78"/>
      <c r="F15" s="50">
        <f ca="1">OFFSET(汇总!$O15,,MATCH($P$3,汇总!$P$3:$S$3,0))</f>
        <v>7386.0292812106227</v>
      </c>
      <c r="G15" s="83">
        <f t="shared" ca="1" si="0"/>
        <v>0.17476924933690463</v>
      </c>
      <c r="I15" s="50">
        <v>7090.5881099621974</v>
      </c>
      <c r="J15" s="83">
        <f t="shared" ca="1" si="1"/>
        <v>0.12777847936342845</v>
      </c>
      <c r="L15" s="87">
        <v>-0.02</v>
      </c>
      <c r="M15" s="51">
        <f t="shared" ca="1" si="2"/>
        <v>7260.284939751572</v>
      </c>
      <c r="N15" s="83">
        <f t="shared" ca="1" si="3"/>
        <v>0.15476924933690464</v>
      </c>
    </row>
    <row r="16" spans="2:16" ht="15" thickBot="1" x14ac:dyDescent="0.25">
      <c r="B16" s="40" t="s">
        <v>41</v>
      </c>
      <c r="C16" s="52">
        <f ca="1">SUM(C4:C15)</f>
        <v>52293.340671831662</v>
      </c>
      <c r="D16" s="57">
        <f ca="1">SUM(D4:D15)</f>
        <v>61204.00361505014</v>
      </c>
      <c r="E16" s="33"/>
      <c r="F16" s="52">
        <f ca="1">SUM(F4:F15)</f>
        <v>71691.28634819451</v>
      </c>
      <c r="G16" s="84">
        <f t="shared" ca="1" si="0"/>
        <v>0.17134961952988204</v>
      </c>
      <c r="I16" s="52">
        <f>SUM(I4:I15)</f>
        <v>68200.940305919692</v>
      </c>
      <c r="J16" s="84">
        <f t="shared" ca="1" si="1"/>
        <v>0.11432155214677819</v>
      </c>
      <c r="L16" s="32"/>
      <c r="M16" s="53">
        <f t="shared" ref="M16" ca="1" si="4">D16+D16*(G16+L16)</f>
        <v>71691.28634819451</v>
      </c>
      <c r="N16" s="84">
        <f t="shared" ref="N16" ca="1" si="5">G16+L16</f>
        <v>0.17134961952988204</v>
      </c>
    </row>
  </sheetData>
  <mergeCells count="5">
    <mergeCell ref="B2:B3"/>
    <mergeCell ref="C2:D2"/>
    <mergeCell ref="F2:G2"/>
    <mergeCell ref="I2:J2"/>
    <mergeCell ref="L2:N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8ADBD-929B-4907-B513-F53307ED6282}">
  <dimension ref="B1:P16"/>
  <sheetViews>
    <sheetView showGridLines="0" workbookViewId="0">
      <selection activeCell="I16" sqref="I16"/>
    </sheetView>
  </sheetViews>
  <sheetFormatPr defaultRowHeight="14.25" x14ac:dyDescent="0.2"/>
  <cols>
    <col min="1" max="1" width="1.875" customWidth="1"/>
    <col min="3" max="3" width="9" customWidth="1"/>
    <col min="4" max="4" width="9" collapsed="1"/>
    <col min="5" max="5" width="1.875" customWidth="1"/>
    <col min="6" max="6" width="9" customWidth="1"/>
    <col min="8" max="8" width="1.875" customWidth="1"/>
    <col min="11" max="11" width="1.875" customWidth="1"/>
  </cols>
  <sheetData>
    <row r="1" spans="2:16" ht="15" thickBot="1" x14ac:dyDescent="0.25"/>
    <row r="2" spans="2:16" x14ac:dyDescent="0.2">
      <c r="B2" s="118" t="s">
        <v>40</v>
      </c>
      <c r="C2" s="115" t="s">
        <v>50</v>
      </c>
      <c r="D2" s="117"/>
      <c r="E2" s="33"/>
      <c r="F2" s="120" t="s">
        <v>51</v>
      </c>
      <c r="G2" s="117"/>
      <c r="I2" s="121" t="s">
        <v>45</v>
      </c>
      <c r="J2" s="123"/>
      <c r="L2" s="120" t="s">
        <v>52</v>
      </c>
      <c r="M2" s="116"/>
      <c r="N2" s="117"/>
    </row>
    <row r="3" spans="2:16" ht="15" thickBot="1" x14ac:dyDescent="0.25">
      <c r="B3" s="119"/>
      <c r="C3" s="34">
        <v>2016</v>
      </c>
      <c r="D3" s="36">
        <v>2017</v>
      </c>
      <c r="E3" s="33"/>
      <c r="F3" s="42">
        <v>2018</v>
      </c>
      <c r="G3" s="36" t="s">
        <v>44</v>
      </c>
      <c r="I3" s="43">
        <v>2018</v>
      </c>
      <c r="J3" s="45" t="s">
        <v>44</v>
      </c>
      <c r="L3" s="42" t="s">
        <v>53</v>
      </c>
      <c r="M3" s="35">
        <v>2018</v>
      </c>
      <c r="N3" s="36" t="s">
        <v>44</v>
      </c>
      <c r="P3" t="s">
        <v>55</v>
      </c>
    </row>
    <row r="4" spans="2:16" x14ac:dyDescent="0.2">
      <c r="B4" s="37">
        <v>1</v>
      </c>
      <c r="C4" s="46">
        <f ca="1">OFFSET(汇总!$B4,,MATCH($P$3,汇总!$C$3:$F$3,0))</f>
        <v>1628.2674457922299</v>
      </c>
      <c r="D4" s="54">
        <f ca="1">OFFSET(汇总!$H4,,MATCH($P$3,汇总!$I$3:$L$3,0))</f>
        <v>1835.8460482904652</v>
      </c>
      <c r="E4" s="78"/>
      <c r="F4" s="46">
        <f ca="1">OFFSET(汇总!$O4,,MATCH($P$3,汇总!$P$3:$S$3,0))</f>
        <v>2186.7859675730956</v>
      </c>
      <c r="G4" s="60">
        <f ca="1">F4/D4-1</f>
        <v>0.19115977595693523</v>
      </c>
      <c r="I4" s="46">
        <v>2099.3145288701717</v>
      </c>
      <c r="J4" s="60">
        <f ca="1">I4/D4-1</f>
        <v>0.14351338491865784</v>
      </c>
      <c r="L4" s="85">
        <v>-0.02</v>
      </c>
      <c r="M4" s="47">
        <f ca="1">D4+D4*(G4+L4)</f>
        <v>2150.0690466072861</v>
      </c>
      <c r="N4" s="60">
        <f ca="1">G4+L4</f>
        <v>0.17115977595693524</v>
      </c>
    </row>
    <row r="5" spans="2:16" x14ac:dyDescent="0.2">
      <c r="B5" s="38">
        <v>2</v>
      </c>
      <c r="C5" s="48">
        <f ca="1">OFFSET(汇总!$B5,,MATCH($P$3,汇总!$C$3:$F$3,0))</f>
        <v>1471.4373619158612</v>
      </c>
      <c r="D5" s="55">
        <f ca="1">OFFSET(汇总!$H5,,MATCH($P$3,汇总!$I$3:$L$3,0))</f>
        <v>1719.4921983487354</v>
      </c>
      <c r="E5" s="78"/>
      <c r="F5" s="48">
        <f ca="1">OFFSET(汇总!$O5,,MATCH($P$3,汇总!$P$3:$S$3,0))</f>
        <v>2027.052098465831</v>
      </c>
      <c r="G5" s="61">
        <f t="shared" ref="G5:G16" ca="1" si="0">F5/D5-1</f>
        <v>0.17886670286288697</v>
      </c>
      <c r="I5" s="48">
        <v>1905.4289725578813</v>
      </c>
      <c r="J5" s="61">
        <f t="shared" ref="J5:J16" ca="1" si="1">I5/D5-1</f>
        <v>0.10813470069111375</v>
      </c>
      <c r="L5" s="86">
        <v>-0.02</v>
      </c>
      <c r="M5" s="49">
        <f t="shared" ref="M5:M16" ca="1" si="2">D5+D5*(G5+L5)</f>
        <v>1992.6622544988563</v>
      </c>
      <c r="N5" s="61">
        <f t="shared" ref="N5:N16" ca="1" si="3">G5+L5</f>
        <v>0.15886670286288698</v>
      </c>
    </row>
    <row r="6" spans="2:16" x14ac:dyDescent="0.2">
      <c r="B6" s="38">
        <v>3</v>
      </c>
      <c r="C6" s="48">
        <f ca="1">OFFSET(汇总!$B6,,MATCH($P$3,汇总!$C$3:$F$3,0))</f>
        <v>1421.1301347602712</v>
      </c>
      <c r="D6" s="55">
        <f ca="1">OFFSET(汇总!$H6,,MATCH($P$3,汇总!$I$3:$L$3,0))</f>
        <v>1639.1036029085894</v>
      </c>
      <c r="E6" s="78"/>
      <c r="F6" s="48">
        <f ca="1">OFFSET(汇总!$O6,,MATCH($P$3,汇总!$P$3:$S$3,0))</f>
        <v>1937.0241465443255</v>
      </c>
      <c r="G6" s="61">
        <f t="shared" ca="1" si="0"/>
        <v>0.18175821412818327</v>
      </c>
      <c r="I6" s="48">
        <v>1878.9134221479958</v>
      </c>
      <c r="J6" s="61">
        <f t="shared" ca="1" si="1"/>
        <v>0.14630546770433783</v>
      </c>
      <c r="L6" s="86">
        <v>-0.02</v>
      </c>
      <c r="M6" s="49">
        <f t="shared" ca="1" si="2"/>
        <v>1904.2420744861538</v>
      </c>
      <c r="N6" s="61">
        <f t="shared" ca="1" si="3"/>
        <v>0.16175821412818328</v>
      </c>
    </row>
    <row r="7" spans="2:16" x14ac:dyDescent="0.2">
      <c r="B7" s="38">
        <v>4</v>
      </c>
      <c r="C7" s="48">
        <f ca="1">OFFSET(汇总!$B7,,MATCH($P$3,汇总!$C$3:$F$3,0))</f>
        <v>1415.7120562020914</v>
      </c>
      <c r="D7" s="55">
        <f ca="1">OFFSET(汇总!$H7,,MATCH($P$3,汇总!$I$3:$L$3,0))</f>
        <v>1635.8429492966532</v>
      </c>
      <c r="E7" s="78"/>
      <c r="F7" s="48">
        <f ca="1">OFFSET(汇总!$O7,,MATCH($P$3,汇总!$P$3:$S$3,0))</f>
        <v>1909.5142361051649</v>
      </c>
      <c r="G7" s="61">
        <f t="shared" ca="1" si="0"/>
        <v>0.167296797608951</v>
      </c>
      <c r="I7" s="48">
        <v>1852.22880902201</v>
      </c>
      <c r="J7" s="61">
        <f t="shared" ca="1" si="1"/>
        <v>0.13227789368068255</v>
      </c>
      <c r="L7" s="86">
        <v>-0.02</v>
      </c>
      <c r="M7" s="49">
        <f t="shared" ca="1" si="2"/>
        <v>1876.7973771192319</v>
      </c>
      <c r="N7" s="61">
        <f t="shared" ca="1" si="3"/>
        <v>0.14729679760895101</v>
      </c>
    </row>
    <row r="8" spans="2:16" x14ac:dyDescent="0.2">
      <c r="B8" s="38">
        <v>5</v>
      </c>
      <c r="C8" s="48">
        <f ca="1">OFFSET(汇总!$B8,,MATCH($P$3,汇总!$C$3:$F$3,0))</f>
        <v>1514.0219884116018</v>
      </c>
      <c r="D8" s="55">
        <f ca="1">OFFSET(汇总!$H8,,MATCH($P$3,汇总!$I$3:$L$3,0))</f>
        <v>1754.746483265762</v>
      </c>
      <c r="E8" s="78"/>
      <c r="F8" s="48">
        <f ca="1">OFFSET(汇总!$O8,,MATCH($P$3,汇总!$P$3:$S$3,0))</f>
        <v>2021.2720905950396</v>
      </c>
      <c r="G8" s="61">
        <f t="shared" ca="1" si="0"/>
        <v>0.15188838380416425</v>
      </c>
      <c r="I8" s="48">
        <v>1899.9957651593372</v>
      </c>
      <c r="J8" s="61">
        <f t="shared" ca="1" si="1"/>
        <v>8.2775080775914445E-2</v>
      </c>
      <c r="L8" s="86">
        <v>-0.02</v>
      </c>
      <c r="M8" s="49">
        <f t="shared" ca="1" si="2"/>
        <v>1986.1771609297243</v>
      </c>
      <c r="N8" s="61">
        <f t="shared" ca="1" si="3"/>
        <v>0.13188838380416426</v>
      </c>
    </row>
    <row r="9" spans="2:16" x14ac:dyDescent="0.2">
      <c r="B9" s="38">
        <v>6</v>
      </c>
      <c r="C9" s="48">
        <f ca="1">OFFSET(汇总!$B9,,MATCH($P$3,汇总!$C$3:$F$3,0))</f>
        <v>1485.1419135630224</v>
      </c>
      <c r="D9" s="55">
        <f ca="1">OFFSET(汇总!$H9,,MATCH($P$3,汇总!$I$3:$L$3,0))</f>
        <v>1722.5076900349623</v>
      </c>
      <c r="E9" s="78"/>
      <c r="F9" s="48">
        <f ca="1">OFFSET(汇总!$O9,,MATCH($P$3,汇总!$P$3:$S$3,0))</f>
        <v>2007.8495244748538</v>
      </c>
      <c r="G9" s="61">
        <f t="shared" ca="1" si="0"/>
        <v>0.16565489727021188</v>
      </c>
      <c r="I9" s="48">
        <v>1947.6140387406081</v>
      </c>
      <c r="J9" s="61">
        <f t="shared" ca="1" si="1"/>
        <v>0.13068525035210543</v>
      </c>
      <c r="L9" s="86">
        <v>-0.02</v>
      </c>
      <c r="M9" s="49">
        <f t="shared" ca="1" si="2"/>
        <v>1973.3993706741546</v>
      </c>
      <c r="N9" s="61">
        <f t="shared" ca="1" si="3"/>
        <v>0.14565489727021189</v>
      </c>
    </row>
    <row r="10" spans="2:16" x14ac:dyDescent="0.2">
      <c r="B10" s="38">
        <v>7</v>
      </c>
      <c r="C10" s="48">
        <f ca="1">OFFSET(汇总!$B10,,MATCH($P$3,汇总!$C$3:$F$3,0))</f>
        <v>1473.9625297506689</v>
      </c>
      <c r="D10" s="55">
        <f ca="1">OFFSET(汇总!$H10,,MATCH($P$3,汇总!$I$3:$L$3,0))</f>
        <v>1715.6921885002384</v>
      </c>
      <c r="E10" s="78"/>
      <c r="F10" s="48">
        <f ca="1">OFFSET(汇总!$O10,,MATCH($P$3,汇总!$P$3:$S$3,0))</f>
        <v>1999.2334047639918</v>
      </c>
      <c r="G10" s="61">
        <f t="shared" ca="1" si="0"/>
        <v>0.16526345352869454</v>
      </c>
      <c r="I10" s="48">
        <v>1899.2717345257922</v>
      </c>
      <c r="J10" s="61">
        <f t="shared" ca="1" si="1"/>
        <v>0.10700028085225988</v>
      </c>
      <c r="L10" s="86">
        <v>-0.02</v>
      </c>
      <c r="M10" s="49">
        <f t="shared" ca="1" si="2"/>
        <v>1964.919560993987</v>
      </c>
      <c r="N10" s="61">
        <f t="shared" ca="1" si="3"/>
        <v>0.14526345352869455</v>
      </c>
    </row>
    <row r="11" spans="2:16" x14ac:dyDescent="0.2">
      <c r="B11" s="38">
        <v>8</v>
      </c>
      <c r="C11" s="48">
        <f ca="1">OFFSET(汇总!$B11,,MATCH($P$3,汇总!$C$3:$F$3,0))</f>
        <v>1489.9470873069286</v>
      </c>
      <c r="D11" s="55">
        <f ca="1">OFFSET(汇总!$H11,,MATCH($P$3,汇总!$I$3:$L$3,0))</f>
        <v>1744.7193605042435</v>
      </c>
      <c r="E11" s="78"/>
      <c r="F11" s="48">
        <f ca="1">OFFSET(汇总!$O11,,MATCH($P$3,汇总!$P$3:$S$3,0))</f>
        <v>2032.5174143716888</v>
      </c>
      <c r="G11" s="61">
        <f t="shared" ca="1" si="0"/>
        <v>0.16495378017944873</v>
      </c>
      <c r="I11" s="48">
        <v>1951.2167177968213</v>
      </c>
      <c r="J11" s="61">
        <f t="shared" ca="1" si="1"/>
        <v>0.1183556289722707</v>
      </c>
      <c r="L11" s="86">
        <v>-0.02</v>
      </c>
      <c r="M11" s="49">
        <f t="shared" ca="1" si="2"/>
        <v>1997.6230271616039</v>
      </c>
      <c r="N11" s="61">
        <f t="shared" ca="1" si="3"/>
        <v>0.14495378017944874</v>
      </c>
    </row>
    <row r="12" spans="2:16" x14ac:dyDescent="0.2">
      <c r="B12" s="38">
        <v>9</v>
      </c>
      <c r="C12" s="48">
        <f ca="1">OFFSET(汇总!$B12,,MATCH($P$3,汇总!$C$3:$F$3,0))</f>
        <v>1606.6931963297936</v>
      </c>
      <c r="D12" s="55">
        <f ca="1">OFFSET(汇总!$H12,,MATCH($P$3,汇总!$I$3:$L$3,0))</f>
        <v>1879.9997111107466</v>
      </c>
      <c r="E12" s="78"/>
      <c r="F12" s="48">
        <f ca="1">OFFSET(汇总!$O12,,MATCH($P$3,汇总!$P$3:$S$3,0))</f>
        <v>2208.1232326136187</v>
      </c>
      <c r="G12" s="61">
        <f t="shared" ca="1" si="0"/>
        <v>0.17453381485309349</v>
      </c>
      <c r="I12" s="48">
        <v>2075.6358386568018</v>
      </c>
      <c r="J12" s="61">
        <f t="shared" ca="1" si="1"/>
        <v>0.10406178596190796</v>
      </c>
      <c r="L12" s="86">
        <v>-0.02</v>
      </c>
      <c r="M12" s="49">
        <f t="shared" ca="1" si="2"/>
        <v>2170.523238391404</v>
      </c>
      <c r="N12" s="61">
        <f t="shared" ca="1" si="3"/>
        <v>0.1545338148530935</v>
      </c>
    </row>
    <row r="13" spans="2:16" x14ac:dyDescent="0.2">
      <c r="B13" s="38">
        <v>10</v>
      </c>
      <c r="C13" s="48">
        <f ca="1">OFFSET(汇总!$B13,,MATCH($P$3,汇总!$C$3:$F$3,0))</f>
        <v>1715.5696075373833</v>
      </c>
      <c r="D13" s="55">
        <f ca="1">OFFSET(汇总!$H13,,MATCH($P$3,汇总!$I$3:$L$3,0))</f>
        <v>2025.7729921376167</v>
      </c>
      <c r="E13" s="78"/>
      <c r="F13" s="48">
        <f ca="1">OFFSET(汇总!$O13,,MATCH($P$3,汇总!$P$3:$S$3,0))</f>
        <v>2358.1995726482305</v>
      </c>
      <c r="G13" s="61">
        <f t="shared" ca="1" si="0"/>
        <v>0.1640986338552346</v>
      </c>
      <c r="I13" s="48">
        <v>2240.2895940158191</v>
      </c>
      <c r="J13" s="61">
        <f t="shared" ca="1" si="1"/>
        <v>0.10589370216247285</v>
      </c>
      <c r="L13" s="86">
        <v>-0.02</v>
      </c>
      <c r="M13" s="49">
        <f t="shared" ca="1" si="2"/>
        <v>2317.6841128054784</v>
      </c>
      <c r="N13" s="61">
        <f t="shared" ca="1" si="3"/>
        <v>0.14409863385523461</v>
      </c>
    </row>
    <row r="14" spans="2:16" x14ac:dyDescent="0.2">
      <c r="B14" s="38">
        <v>11</v>
      </c>
      <c r="C14" s="48">
        <f ca="1">OFFSET(汇总!$B14,,MATCH($P$3,汇总!$C$3:$F$3,0))</f>
        <v>1672.4211086125108</v>
      </c>
      <c r="D14" s="55">
        <f ca="1">OFFSET(汇总!$H14,,MATCH($P$3,汇总!$I$3:$L$3,0))</f>
        <v>1998.8854618521059</v>
      </c>
      <c r="E14" s="78"/>
      <c r="F14" s="48">
        <f ca="1">OFFSET(汇总!$O14,,MATCH($P$3,汇总!$P$3:$S$3,0))</f>
        <v>2348.2291735304498</v>
      </c>
      <c r="G14" s="61">
        <f t="shared" ca="1" si="0"/>
        <v>0.17476924933690441</v>
      </c>
      <c r="I14" s="48">
        <v>2277.7822983245364</v>
      </c>
      <c r="J14" s="61">
        <f t="shared" ca="1" si="1"/>
        <v>0.13952617185679728</v>
      </c>
      <c r="L14" s="86">
        <v>-0.02</v>
      </c>
      <c r="M14" s="49">
        <f t="shared" ca="1" si="2"/>
        <v>2308.2514642934079</v>
      </c>
      <c r="N14" s="61">
        <f t="shared" ca="1" si="3"/>
        <v>0.15476924933690442</v>
      </c>
    </row>
    <row r="15" spans="2:16" ht="15" thickBot="1" x14ac:dyDescent="0.25">
      <c r="B15" s="39">
        <v>12</v>
      </c>
      <c r="C15" s="50">
        <f ca="1">OFFSET(汇总!$B15,,MATCH($P$3,汇总!$C$3:$F$3,0))</f>
        <v>1838.5183132806985</v>
      </c>
      <c r="D15" s="56">
        <f ca="1">OFFSET(汇总!$H15,,MATCH($P$3,汇总!$I$3:$L$3,0))</f>
        <v>2252.2432390848662</v>
      </c>
      <c r="E15" s="78"/>
      <c r="F15" s="50">
        <f ca="1">OFFSET(汇总!$O15,,MATCH($P$3,汇总!$P$3:$S$3,0))</f>
        <v>2645.866099303847</v>
      </c>
      <c r="G15" s="83">
        <f t="shared" ca="1" si="0"/>
        <v>0.17476924933690463</v>
      </c>
      <c r="I15" s="50">
        <v>2487.1141333456162</v>
      </c>
      <c r="J15" s="83">
        <f t="shared" ca="1" si="1"/>
        <v>0.10428309437669037</v>
      </c>
      <c r="L15" s="87">
        <v>-0.02</v>
      </c>
      <c r="M15" s="51">
        <f t="shared" ca="1" si="2"/>
        <v>2600.8212345221496</v>
      </c>
      <c r="N15" s="83">
        <f t="shared" ca="1" si="3"/>
        <v>0.15476924933690464</v>
      </c>
    </row>
    <row r="16" spans="2:16" ht="15" thickBot="1" x14ac:dyDescent="0.25">
      <c r="B16" s="40" t="s">
        <v>41</v>
      </c>
      <c r="C16" s="52">
        <f ca="1">SUM(C4:C15)</f>
        <v>18732.822743463064</v>
      </c>
      <c r="D16" s="57">
        <f ca="1">SUM(D4:D15)</f>
        <v>21924.851925334984</v>
      </c>
      <c r="E16" s="33"/>
      <c r="F16" s="52">
        <f ca="1">SUM(F4:F15)</f>
        <v>25681.666960990136</v>
      </c>
      <c r="G16" s="84">
        <f t="shared" ca="1" si="0"/>
        <v>0.17134961952988204</v>
      </c>
      <c r="I16" s="52">
        <f>SUM(I4:I15)</f>
        <v>24514.805853163394</v>
      </c>
      <c r="J16" s="84">
        <f t="shared" ca="1" si="1"/>
        <v>0.11812868504875151</v>
      </c>
      <c r="L16" s="32"/>
      <c r="M16" s="53">
        <f t="shared" ca="1" si="2"/>
        <v>25681.666960990136</v>
      </c>
      <c r="N16" s="84">
        <f t="shared" ca="1" si="3"/>
        <v>0.17134961952988204</v>
      </c>
    </row>
  </sheetData>
  <mergeCells count="5">
    <mergeCell ref="B2:B3"/>
    <mergeCell ref="C2:D2"/>
    <mergeCell ref="F2:G2"/>
    <mergeCell ref="I2:J2"/>
    <mergeCell ref="L2:N2"/>
  </mergeCells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7CBF-1795-4384-A35C-F2AF702D3062}">
  <dimension ref="B1:P16"/>
  <sheetViews>
    <sheetView showGridLines="0" workbookViewId="0">
      <selection activeCell="I17" sqref="I17"/>
    </sheetView>
  </sheetViews>
  <sheetFormatPr defaultRowHeight="14.25" x14ac:dyDescent="0.2"/>
  <cols>
    <col min="1" max="1" width="1.875" customWidth="1"/>
    <col min="3" max="3" width="9" customWidth="1"/>
    <col min="4" max="4" width="9" collapsed="1"/>
    <col min="5" max="5" width="1.875" customWidth="1"/>
    <col min="6" max="6" width="9" customWidth="1"/>
    <col min="8" max="8" width="1.875" customWidth="1"/>
    <col min="11" max="11" width="1.875" customWidth="1"/>
  </cols>
  <sheetData>
    <row r="1" spans="2:16" ht="15" thickBot="1" x14ac:dyDescent="0.25"/>
    <row r="2" spans="2:16" x14ac:dyDescent="0.2">
      <c r="B2" s="118" t="s">
        <v>40</v>
      </c>
      <c r="C2" s="115" t="s">
        <v>50</v>
      </c>
      <c r="D2" s="117"/>
      <c r="E2" s="33"/>
      <c r="F2" s="120" t="s">
        <v>51</v>
      </c>
      <c r="G2" s="117"/>
      <c r="I2" s="121" t="s">
        <v>45</v>
      </c>
      <c r="J2" s="123"/>
      <c r="L2" s="120" t="s">
        <v>52</v>
      </c>
      <c r="M2" s="116"/>
      <c r="N2" s="117"/>
    </row>
    <row r="3" spans="2:16" ht="15" thickBot="1" x14ac:dyDescent="0.25">
      <c r="B3" s="119"/>
      <c r="C3" s="34">
        <v>2016</v>
      </c>
      <c r="D3" s="36">
        <v>2017</v>
      </c>
      <c r="E3" s="33"/>
      <c r="F3" s="42">
        <v>2018</v>
      </c>
      <c r="G3" s="36" t="s">
        <v>44</v>
      </c>
      <c r="I3" s="43">
        <v>2018</v>
      </c>
      <c r="J3" s="45" t="s">
        <v>44</v>
      </c>
      <c r="L3" s="42" t="s">
        <v>53</v>
      </c>
      <c r="M3" s="35">
        <v>2018</v>
      </c>
      <c r="N3" s="36" t="s">
        <v>44</v>
      </c>
      <c r="P3" t="s">
        <v>56</v>
      </c>
    </row>
    <row r="4" spans="2:16" x14ac:dyDescent="0.2">
      <c r="B4" s="37">
        <v>1</v>
      </c>
      <c r="C4" s="46">
        <f ca="1">OFFSET(汇总!$B4,,MATCH($P$3,汇总!$C$3:$F$3,0))</f>
        <v>144.13317466309934</v>
      </c>
      <c r="D4" s="54">
        <f ca="1">OFFSET(汇总!$H4,,MATCH($P$3,汇总!$I$3:$L$3,0))</f>
        <v>162.50789746893622</v>
      </c>
      <c r="E4" s="78"/>
      <c r="F4" s="46">
        <f ca="1">OFFSET(汇总!$O4,,MATCH($P$3,汇总!$P$3:$S$3,0))</f>
        <v>193.57287074033067</v>
      </c>
      <c r="G4" s="60">
        <f ca="1">F4/D4-1</f>
        <v>0.19115977595693523</v>
      </c>
      <c r="I4" s="46">
        <v>183.89422720331413</v>
      </c>
      <c r="J4" s="60">
        <f ca="1">I4/D4-1</f>
        <v>0.13160178715908843</v>
      </c>
      <c r="L4" s="85">
        <v>-0.02</v>
      </c>
      <c r="M4" s="47">
        <f ca="1">D4+D4*(G4+L4)</f>
        <v>190.32271279095195</v>
      </c>
      <c r="N4" s="60">
        <f ca="1">G4+L4</f>
        <v>0.17115977595693524</v>
      </c>
    </row>
    <row r="5" spans="2:16" x14ac:dyDescent="0.2">
      <c r="B5" s="38">
        <v>2</v>
      </c>
      <c r="C5" s="48">
        <f ca="1">OFFSET(汇总!$B5,,MATCH($P$3,汇总!$C$3:$F$3,0))</f>
        <v>130.25067769971932</v>
      </c>
      <c r="D5" s="55">
        <f ca="1">OFFSET(汇总!$H5,,MATCH($P$3,汇总!$I$3:$L$3,0))</f>
        <v>152.20833039246264</v>
      </c>
      <c r="E5" s="78"/>
      <c r="F5" s="48">
        <f ca="1">OFFSET(汇总!$O5,,MATCH($P$3,汇总!$P$3:$S$3,0))</f>
        <v>179.43333259802739</v>
      </c>
      <c r="G5" s="61">
        <f t="shared" ref="G5:G16" ca="1" si="0">F5/D5-1</f>
        <v>0.17886670286288697</v>
      </c>
      <c r="I5" s="48">
        <v>168.66733264214574</v>
      </c>
      <c r="J5" s="61">
        <f t="shared" ref="J5:J16" ca="1" si="1">I5/D5-1</f>
        <v>0.10813470069111375</v>
      </c>
      <c r="L5" s="86">
        <v>-0.02</v>
      </c>
      <c r="M5" s="49">
        <f t="shared" ref="M5:M16" ca="1" si="2">D5+D5*(G5+L5)</f>
        <v>176.38916599017813</v>
      </c>
      <c r="N5" s="61">
        <f t="shared" ref="N5:N16" ca="1" si="3">G5+L5</f>
        <v>0.15886670286288698</v>
      </c>
    </row>
    <row r="6" spans="2:16" x14ac:dyDescent="0.2">
      <c r="B6" s="38">
        <v>3</v>
      </c>
      <c r="C6" s="48">
        <f ca="1">OFFSET(汇总!$B6,,MATCH($P$3,汇总!$C$3:$F$3,0))</f>
        <v>125.79751469067511</v>
      </c>
      <c r="D6" s="55">
        <f ca="1">OFFSET(汇总!$H6,,MATCH($P$3,汇总!$I$3:$L$3,0))</f>
        <v>145.09238423912151</v>
      </c>
      <c r="E6" s="78"/>
      <c r="F6" s="48">
        <f ca="1">OFFSET(汇总!$O6,,MATCH($P$3,汇总!$P$3:$S$3,0))</f>
        <v>171.4641168820244</v>
      </c>
      <c r="G6" s="61">
        <f t="shared" ca="1" si="0"/>
        <v>0.18175821412818327</v>
      </c>
      <c r="I6" s="48">
        <v>164.60555220674343</v>
      </c>
      <c r="J6" s="61">
        <f t="shared" ca="1" si="1"/>
        <v>0.1344878855630558</v>
      </c>
      <c r="L6" s="86">
        <v>-0.02</v>
      </c>
      <c r="M6" s="49">
        <f t="shared" ca="1" si="2"/>
        <v>168.56226919724199</v>
      </c>
      <c r="N6" s="61">
        <f t="shared" ca="1" si="3"/>
        <v>0.16175821412818328</v>
      </c>
    </row>
    <row r="7" spans="2:16" x14ac:dyDescent="0.2">
      <c r="B7" s="38">
        <v>4</v>
      </c>
      <c r="C7" s="48">
        <f ca="1">OFFSET(汇总!$B7,,MATCH($P$3,汇总!$C$3:$F$3,0))</f>
        <v>125.31790990266401</v>
      </c>
      <c r="D7" s="55">
        <f ca="1">OFFSET(汇总!$H7,,MATCH($P$3,汇总!$I$3:$L$3,0))</f>
        <v>144.80375330335016</v>
      </c>
      <c r="E7" s="78"/>
      <c r="F7" s="48">
        <f ca="1">OFFSET(汇总!$O7,,MATCH($P$3,汇总!$P$3:$S$3,0))</f>
        <v>169.02895751275722</v>
      </c>
      <c r="G7" s="61">
        <f t="shared" ca="1" si="0"/>
        <v>0.167296797608951</v>
      </c>
      <c r="I7" s="48">
        <v>162.26779921224693</v>
      </c>
      <c r="J7" s="61">
        <f t="shared" ca="1" si="1"/>
        <v>0.12060492570459314</v>
      </c>
      <c r="L7" s="86">
        <v>-0.02</v>
      </c>
      <c r="M7" s="49">
        <f t="shared" ca="1" si="2"/>
        <v>166.13288244669019</v>
      </c>
      <c r="N7" s="61">
        <f t="shared" ca="1" si="3"/>
        <v>0.14729679760895101</v>
      </c>
    </row>
    <row r="8" spans="2:16" x14ac:dyDescent="0.2">
      <c r="B8" s="38">
        <v>5</v>
      </c>
      <c r="C8" s="48">
        <f ca="1">OFFSET(汇总!$B8,,MATCH($P$3,汇总!$C$3:$F$3,0))</f>
        <v>134.02024112404183</v>
      </c>
      <c r="D8" s="55">
        <f ca="1">OFFSET(汇总!$H8,,MATCH($P$3,汇总!$I$3:$L$3,0))</f>
        <v>155.32901675065247</v>
      </c>
      <c r="E8" s="78"/>
      <c r="F8" s="48">
        <f ca="1">OFFSET(汇总!$O8,,MATCH($P$3,汇总!$P$3:$S$3,0))</f>
        <v>178.92169006279903</v>
      </c>
      <c r="G8" s="61">
        <f t="shared" ca="1" si="0"/>
        <v>0.15188838380416425</v>
      </c>
      <c r="I8" s="48">
        <v>173.55403936091506</v>
      </c>
      <c r="J8" s="61">
        <f t="shared" ca="1" si="1"/>
        <v>0.11733173229003935</v>
      </c>
      <c r="L8" s="86">
        <v>-0.02</v>
      </c>
      <c r="M8" s="49">
        <f t="shared" ca="1" si="2"/>
        <v>175.81510972778599</v>
      </c>
      <c r="N8" s="61">
        <f t="shared" ca="1" si="3"/>
        <v>0.13188838380416426</v>
      </c>
    </row>
    <row r="9" spans="2:16" x14ac:dyDescent="0.2">
      <c r="B9" s="38">
        <v>6</v>
      </c>
      <c r="C9" s="48">
        <f ca="1">OFFSET(汇总!$B9,,MATCH($P$3,汇总!$C$3:$F$3,0))</f>
        <v>131.46379569292387</v>
      </c>
      <c r="D9" s="55">
        <f ca="1">OFFSET(汇总!$H9,,MATCH($P$3,汇总!$I$3:$L$3,0))</f>
        <v>152.47525975411585</v>
      </c>
      <c r="E9" s="78"/>
      <c r="F9" s="48">
        <f ca="1">OFFSET(汇总!$O9,,MATCH($P$3,汇总!$P$3:$S$3,0))</f>
        <v>177.7335332449328</v>
      </c>
      <c r="G9" s="61">
        <f t="shared" ca="1" si="0"/>
        <v>0.16565489727021188</v>
      </c>
      <c r="I9" s="48">
        <v>168.84685658268617</v>
      </c>
      <c r="J9" s="61">
        <f t="shared" ca="1" si="1"/>
        <v>0.1073721524067015</v>
      </c>
      <c r="L9" s="86">
        <v>-0.02</v>
      </c>
      <c r="M9" s="49">
        <f t="shared" ca="1" si="2"/>
        <v>174.68402804985047</v>
      </c>
      <c r="N9" s="61">
        <f t="shared" ca="1" si="3"/>
        <v>0.14565489727021189</v>
      </c>
    </row>
    <row r="10" spans="2:16" x14ac:dyDescent="0.2">
      <c r="B10" s="38">
        <v>7</v>
      </c>
      <c r="C10" s="48">
        <f ca="1">OFFSET(汇总!$B10,,MATCH($P$3,汇总!$C$3:$F$3,0))</f>
        <v>130.47420391313625</v>
      </c>
      <c r="D10" s="55">
        <f ca="1">OFFSET(汇总!$H10,,MATCH($P$3,汇总!$I$3:$L$3,0))</f>
        <v>151.87195599363133</v>
      </c>
      <c r="E10" s="78"/>
      <c r="F10" s="48">
        <f ca="1">OFFSET(汇总!$O10,,MATCH($P$3,汇总!$P$3:$S$3,0))</f>
        <v>176.97083993529677</v>
      </c>
      <c r="G10" s="61">
        <f t="shared" ca="1" si="0"/>
        <v>0.16526345352869454</v>
      </c>
      <c r="I10" s="48">
        <v>169.89200633788491</v>
      </c>
      <c r="J10" s="61">
        <f t="shared" ca="1" si="1"/>
        <v>0.11865291538754685</v>
      </c>
      <c r="L10" s="86">
        <v>-0.02</v>
      </c>
      <c r="M10" s="49">
        <f t="shared" ca="1" si="2"/>
        <v>173.93340081542414</v>
      </c>
      <c r="N10" s="61">
        <f t="shared" ca="1" si="3"/>
        <v>0.14526345352869455</v>
      </c>
    </row>
    <row r="11" spans="2:16" x14ac:dyDescent="0.2">
      <c r="B11" s="38">
        <v>8</v>
      </c>
      <c r="C11" s="48">
        <f ca="1">OFFSET(汇总!$B11,,MATCH($P$3,汇总!$C$3:$F$3,0))</f>
        <v>131.88914654563956</v>
      </c>
      <c r="D11" s="55">
        <f ca="1">OFFSET(汇总!$H11,,MATCH($P$3,汇总!$I$3:$L$3,0))</f>
        <v>154.44142236922019</v>
      </c>
      <c r="E11" s="78"/>
      <c r="F11" s="48">
        <f ca="1">OFFSET(汇总!$O11,,MATCH($P$3,汇总!$P$3:$S$3,0))</f>
        <v>179.91711880531392</v>
      </c>
      <c r="G11" s="61">
        <f t="shared" ca="1" si="0"/>
        <v>0.16495378017944873</v>
      </c>
      <c r="I11" s="48">
        <v>172.72043405310137</v>
      </c>
      <c r="J11" s="61">
        <f t="shared" ca="1" si="1"/>
        <v>0.1183556289722707</v>
      </c>
      <c r="L11" s="86">
        <v>-0.02</v>
      </c>
      <c r="M11" s="49">
        <f t="shared" ca="1" si="2"/>
        <v>176.82829035792952</v>
      </c>
      <c r="N11" s="61">
        <f t="shared" ca="1" si="3"/>
        <v>0.14495378017944874</v>
      </c>
    </row>
    <row r="12" spans="2:16" x14ac:dyDescent="0.2">
      <c r="B12" s="38">
        <v>9</v>
      </c>
      <c r="C12" s="48">
        <f ca="1">OFFSET(汇总!$B12,,MATCH($P$3,汇总!$C$3:$F$3,0))</f>
        <v>142.2234361407022</v>
      </c>
      <c r="D12" s="55">
        <f ca="1">OFFSET(汇总!$H12,,MATCH($P$3,汇总!$I$3:$L$3,0))</f>
        <v>166.41635096761487</v>
      </c>
      <c r="E12" s="78"/>
      <c r="F12" s="48">
        <f ca="1">OFFSET(汇总!$O12,,MATCH($P$3,汇总!$P$3:$S$3,0))</f>
        <v>195.46163155592399</v>
      </c>
      <c r="G12" s="61">
        <f t="shared" ca="1" si="0"/>
        <v>0.17453381485309349</v>
      </c>
      <c r="I12" s="48">
        <v>187.64316629368702</v>
      </c>
      <c r="J12" s="61">
        <f t="shared" ca="1" si="1"/>
        <v>0.12755246225896966</v>
      </c>
      <c r="L12" s="86">
        <v>-0.02</v>
      </c>
      <c r="M12" s="49">
        <f t="shared" ca="1" si="2"/>
        <v>192.1333045365717</v>
      </c>
      <c r="N12" s="61">
        <f t="shared" ca="1" si="3"/>
        <v>0.1545338148530935</v>
      </c>
    </row>
    <row r="13" spans="2:16" x14ac:dyDescent="0.2">
      <c r="B13" s="38">
        <v>10</v>
      </c>
      <c r="C13" s="48">
        <f ca="1">OFFSET(汇总!$B13,,MATCH($P$3,汇总!$C$3:$F$3,0))</f>
        <v>151.86110520657223</v>
      </c>
      <c r="D13" s="55">
        <f ca="1">OFFSET(汇总!$H13,,MATCH($P$3,汇总!$I$3:$L$3,0))</f>
        <v>179.32010693826638</v>
      </c>
      <c r="E13" s="78"/>
      <c r="F13" s="48">
        <f ca="1">OFFSET(汇总!$O13,,MATCH($P$3,汇总!$P$3:$S$3,0))</f>
        <v>208.74629150961047</v>
      </c>
      <c r="G13" s="61">
        <f t="shared" ca="1" si="0"/>
        <v>0.1640986338552346</v>
      </c>
      <c r="I13" s="48">
        <v>196.22151401903383</v>
      </c>
      <c r="J13" s="61">
        <f t="shared" ca="1" si="1"/>
        <v>9.4252715823920585E-2</v>
      </c>
      <c r="L13" s="86">
        <v>-0.02</v>
      </c>
      <c r="M13" s="49">
        <f t="shared" ca="1" si="2"/>
        <v>205.15988937084515</v>
      </c>
      <c r="N13" s="61">
        <f t="shared" ca="1" si="3"/>
        <v>0.14409863385523461</v>
      </c>
    </row>
    <row r="14" spans="2:16" x14ac:dyDescent="0.2">
      <c r="B14" s="38">
        <v>11</v>
      </c>
      <c r="C14" s="48">
        <f ca="1">OFFSET(汇总!$B14,,MATCH($P$3,汇总!$C$3:$F$3,0))</f>
        <v>148.04162816177796</v>
      </c>
      <c r="D14" s="55">
        <f ca="1">OFFSET(汇总!$H14,,MATCH($P$3,汇总!$I$3:$L$3,0))</f>
        <v>176.94004025516975</v>
      </c>
      <c r="E14" s="78"/>
      <c r="F14" s="48">
        <f ca="1">OFFSET(汇总!$O14,,MATCH($P$3,汇总!$P$3:$S$3,0))</f>
        <v>207.86371826820741</v>
      </c>
      <c r="G14" s="61">
        <f t="shared" ca="1" si="0"/>
        <v>0.17476924933690441</v>
      </c>
      <c r="I14" s="48">
        <v>195.39189517211497</v>
      </c>
      <c r="J14" s="61">
        <f t="shared" ca="1" si="1"/>
        <v>0.10428309437669014</v>
      </c>
      <c r="L14" s="86">
        <v>-0.02</v>
      </c>
      <c r="M14" s="49">
        <f t="shared" ca="1" si="2"/>
        <v>204.32491746310401</v>
      </c>
      <c r="N14" s="61">
        <f t="shared" ca="1" si="3"/>
        <v>0.15476924933690442</v>
      </c>
    </row>
    <row r="15" spans="2:16" ht="15" thickBot="1" x14ac:dyDescent="0.25">
      <c r="B15" s="39">
        <v>12</v>
      </c>
      <c r="C15" s="50">
        <f ca="1">OFFSET(汇总!$B15,,MATCH($P$3,汇总!$C$3:$F$3,0))</f>
        <v>162.74444462682405</v>
      </c>
      <c r="D15" s="56">
        <f ca="1">OFFSET(汇总!$H15,,MATCH($P$3,汇总!$I$3:$L$3,0))</f>
        <v>199.36710581648899</v>
      </c>
      <c r="E15" s="78"/>
      <c r="F15" s="50">
        <f ca="1">OFFSET(汇总!$O15,,MATCH($P$3,汇总!$P$3:$S$3,0))</f>
        <v>234.210345242508</v>
      </c>
      <c r="G15" s="83">
        <f t="shared" ca="1" si="0"/>
        <v>0.17476924933690463</v>
      </c>
      <c r="I15" s="50">
        <v>220.15772452795753</v>
      </c>
      <c r="J15" s="83">
        <f t="shared" ca="1" si="1"/>
        <v>0.10428309437669037</v>
      </c>
      <c r="L15" s="87">
        <v>-0.02</v>
      </c>
      <c r="M15" s="51">
        <f t="shared" ca="1" si="2"/>
        <v>230.22300312617821</v>
      </c>
      <c r="N15" s="83">
        <f t="shared" ca="1" si="3"/>
        <v>0.15476924933690464</v>
      </c>
    </row>
    <row r="16" spans="2:16" ht="15" thickBot="1" x14ac:dyDescent="0.25">
      <c r="B16" s="40" t="s">
        <v>41</v>
      </c>
      <c r="C16" s="52">
        <f ca="1">SUM(C4:C15)</f>
        <v>1658.2172783677759</v>
      </c>
      <c r="D16" s="57">
        <f ca="1">SUM(D4:D15)</f>
        <v>1940.7736242490305</v>
      </c>
      <c r="E16" s="33"/>
      <c r="F16" s="52">
        <f ca="1">SUM(F4:F15)</f>
        <v>2273.3244463577321</v>
      </c>
      <c r="G16" s="84">
        <f t="shared" ca="1" si="0"/>
        <v>0.17134961952988204</v>
      </c>
      <c r="I16" s="52">
        <f>SUM(I4:I15)</f>
        <v>2163.8625476118314</v>
      </c>
      <c r="J16" s="84">
        <f t="shared" ca="1" si="1"/>
        <v>0.11494845177995638</v>
      </c>
      <c r="L16" s="32"/>
      <c r="M16" s="53">
        <f t="shared" ca="1" si="2"/>
        <v>2273.3244463577321</v>
      </c>
      <c r="N16" s="84">
        <f t="shared" ca="1" si="3"/>
        <v>0.17134961952988204</v>
      </c>
    </row>
  </sheetData>
  <mergeCells count="5">
    <mergeCell ref="B2:B3"/>
    <mergeCell ref="C2:D2"/>
    <mergeCell ref="F2:G2"/>
    <mergeCell ref="I2:J2"/>
    <mergeCell ref="L2:N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75A9-122D-492B-9BA1-549AE9F463E6}">
  <dimension ref="B1:P16"/>
  <sheetViews>
    <sheetView showGridLines="0" workbookViewId="0">
      <selection activeCell="I19" sqref="I19"/>
    </sheetView>
  </sheetViews>
  <sheetFormatPr defaultRowHeight="14.25" x14ac:dyDescent="0.2"/>
  <cols>
    <col min="1" max="1" width="1.875" customWidth="1"/>
    <col min="3" max="3" width="9" customWidth="1"/>
    <col min="4" max="4" width="9" collapsed="1"/>
    <col min="5" max="5" width="1.875" customWidth="1"/>
    <col min="6" max="6" width="9" customWidth="1"/>
    <col min="8" max="8" width="1.875" customWidth="1"/>
    <col min="11" max="11" width="1.875" customWidth="1"/>
  </cols>
  <sheetData>
    <row r="1" spans="2:16" ht="15" thickBot="1" x14ac:dyDescent="0.25"/>
    <row r="2" spans="2:16" x14ac:dyDescent="0.2">
      <c r="B2" s="118" t="s">
        <v>40</v>
      </c>
      <c r="C2" s="115" t="s">
        <v>50</v>
      </c>
      <c r="D2" s="117"/>
      <c r="E2" s="33"/>
      <c r="F2" s="120" t="s">
        <v>51</v>
      </c>
      <c r="G2" s="117"/>
      <c r="I2" s="121" t="s">
        <v>45</v>
      </c>
      <c r="J2" s="123"/>
      <c r="L2" s="120" t="s">
        <v>52</v>
      </c>
      <c r="M2" s="116"/>
      <c r="N2" s="117"/>
    </row>
    <row r="3" spans="2:16" ht="15" thickBot="1" x14ac:dyDescent="0.25">
      <c r="B3" s="119"/>
      <c r="C3" s="34">
        <v>2016</v>
      </c>
      <c r="D3" s="36">
        <v>2017</v>
      </c>
      <c r="E3" s="33"/>
      <c r="F3" s="42">
        <v>2018</v>
      </c>
      <c r="G3" s="36" t="s">
        <v>44</v>
      </c>
      <c r="I3" s="43">
        <v>2018</v>
      </c>
      <c r="J3" s="45" t="s">
        <v>44</v>
      </c>
      <c r="L3" s="42" t="s">
        <v>53</v>
      </c>
      <c r="M3" s="35">
        <v>2018</v>
      </c>
      <c r="N3" s="36" t="s">
        <v>44</v>
      </c>
      <c r="P3" t="s">
        <v>57</v>
      </c>
    </row>
    <row r="4" spans="2:16" x14ac:dyDescent="0.2">
      <c r="B4" s="37">
        <v>1</v>
      </c>
      <c r="C4" s="46">
        <f ca="1">OFFSET(汇总!$B4,,MATCH($P$3,汇总!$C$3:$F$3,0))</f>
        <v>323.83291696075378</v>
      </c>
      <c r="D4" s="54">
        <f ca="1">OFFSET(汇总!$H4,,MATCH($P$3,汇总!$I$3:$L$3,0))</f>
        <v>365.11654301331197</v>
      </c>
      <c r="E4" s="78"/>
      <c r="F4" s="46">
        <f ca="1">OFFSET(汇总!$O4,,MATCH($P$3,汇总!$P$3:$S$3,0))</f>
        <v>434.91213957390738</v>
      </c>
      <c r="G4" s="60">
        <f ca="1">F4/D4-1</f>
        <v>0.19115977595693523</v>
      </c>
      <c r="I4" s="46">
        <v>417.51565399095108</v>
      </c>
      <c r="J4" s="60">
        <f ca="1">I4/D4-1</f>
        <v>0.14351338491865784</v>
      </c>
      <c r="L4" s="85">
        <v>-0.02</v>
      </c>
      <c r="M4" s="47">
        <f ca="1">D4+D4*(G4+L4)</f>
        <v>427.60980871364114</v>
      </c>
      <c r="N4" s="60">
        <f ca="1">G4+L4</f>
        <v>0.17115977595693524</v>
      </c>
    </row>
    <row r="5" spans="2:16" x14ac:dyDescent="0.2">
      <c r="B5" s="38">
        <v>2</v>
      </c>
      <c r="C5" s="48">
        <f ca="1">OFFSET(汇总!$B5,,MATCH($P$3,汇总!$C$3:$F$3,0))</f>
        <v>292.64225251547032</v>
      </c>
      <c r="D5" s="55">
        <f ca="1">OFFSET(汇总!$H5,,MATCH($P$3,汇总!$I$3:$L$3,0))</f>
        <v>341.97586871953132</v>
      </c>
      <c r="E5" s="78"/>
      <c r="F5" s="48">
        <f ca="1">OFFSET(汇总!$O5,,MATCH($P$3,汇总!$P$3:$S$3,0))</f>
        <v>403.14396481606536</v>
      </c>
      <c r="G5" s="61">
        <f t="shared" ref="G5:G16" ca="1" si="0">F5/D5-1</f>
        <v>0.17886670286288697</v>
      </c>
      <c r="I5" s="48">
        <v>387.01820622342274</v>
      </c>
      <c r="J5" s="61">
        <f t="shared" ref="J5:J16" ca="1" si="1">I5/D5-1</f>
        <v>0.13171203474837134</v>
      </c>
      <c r="L5" s="86">
        <v>-0.02</v>
      </c>
      <c r="M5" s="49">
        <f t="shared" ref="M5:M16" ca="1" si="2">D5+D5*(G5+L5)</f>
        <v>396.30444744167477</v>
      </c>
      <c r="N5" s="61">
        <f t="shared" ref="N5:N16" ca="1" si="3">G5+L5</f>
        <v>0.15886670286288698</v>
      </c>
    </row>
    <row r="6" spans="2:16" x14ac:dyDescent="0.2">
      <c r="B6" s="38">
        <v>3</v>
      </c>
      <c r="C6" s="48">
        <f ca="1">OFFSET(汇总!$B6,,MATCH($P$3,汇总!$C$3:$F$3,0))</f>
        <v>282.63705579173711</v>
      </c>
      <c r="D6" s="55">
        <f ca="1">OFFSET(汇总!$H6,,MATCH($P$3,汇总!$I$3:$L$3,0))</f>
        <v>325.98803243438442</v>
      </c>
      <c r="E6" s="78"/>
      <c r="F6" s="48">
        <f ca="1">OFFSET(汇总!$O6,,MATCH($P$3,汇总!$P$3:$S$3,0))</f>
        <v>385.23903503681845</v>
      </c>
      <c r="G6" s="61">
        <f t="shared" ca="1" si="0"/>
        <v>0.18175821412818327</v>
      </c>
      <c r="I6" s="48">
        <v>365.97708328497754</v>
      </c>
      <c r="J6" s="61">
        <f t="shared" ca="1" si="1"/>
        <v>0.12267030342177421</v>
      </c>
      <c r="L6" s="86">
        <v>-0.02</v>
      </c>
      <c r="M6" s="49">
        <f t="shared" ca="1" si="2"/>
        <v>378.71927438813071</v>
      </c>
      <c r="N6" s="61">
        <f t="shared" ca="1" si="3"/>
        <v>0.16175821412818328</v>
      </c>
    </row>
    <row r="7" spans="2:16" x14ac:dyDescent="0.2">
      <c r="B7" s="38">
        <v>4</v>
      </c>
      <c r="C7" s="48">
        <f ca="1">OFFSET(汇总!$B7,,MATCH($P$3,汇总!$C$3:$F$3,0))</f>
        <v>281.55949805492179</v>
      </c>
      <c r="D7" s="55">
        <f ca="1">OFFSET(汇总!$H7,,MATCH($P$3,汇总!$I$3:$L$3,0))</f>
        <v>325.33954746154984</v>
      </c>
      <c r="E7" s="78"/>
      <c r="F7" s="48">
        <f ca="1">OFFSET(汇总!$O7,,MATCH($P$3,汇总!$P$3:$S$3,0))</f>
        <v>379.76781188741245</v>
      </c>
      <c r="G7" s="61">
        <f t="shared" ca="1" si="0"/>
        <v>0.167296797608951</v>
      </c>
      <c r="I7" s="48">
        <v>364.57709941191592</v>
      </c>
      <c r="J7" s="61">
        <f t="shared" ca="1" si="1"/>
        <v>0.12060492570459291</v>
      </c>
      <c r="L7" s="86">
        <v>-0.02</v>
      </c>
      <c r="M7" s="49">
        <f t="shared" ca="1" si="2"/>
        <v>373.26102093818145</v>
      </c>
      <c r="N7" s="61">
        <f t="shared" ca="1" si="3"/>
        <v>0.14729679760895101</v>
      </c>
    </row>
    <row r="8" spans="2:16" x14ac:dyDescent="0.2">
      <c r="B8" s="38">
        <v>5</v>
      </c>
      <c r="C8" s="48">
        <f ca="1">OFFSET(汇总!$B8,,MATCH($P$3,汇总!$C$3:$F$3,0))</f>
        <v>301.11156377722699</v>
      </c>
      <c r="D8" s="55">
        <f ca="1">OFFSET(汇总!$H8,,MATCH($P$3,汇总!$I$3:$L$3,0))</f>
        <v>348.98730774912599</v>
      </c>
      <c r="E8" s="78"/>
      <c r="F8" s="48">
        <f ca="1">OFFSET(汇总!$O8,,MATCH($P$3,汇总!$P$3:$S$3,0))</f>
        <v>401.99442589130723</v>
      </c>
      <c r="G8" s="61">
        <f t="shared" ca="1" si="0"/>
        <v>0.15188838380416425</v>
      </c>
      <c r="I8" s="48">
        <v>389.93459311456803</v>
      </c>
      <c r="J8" s="61">
        <f t="shared" ca="1" si="1"/>
        <v>0.11733173229003935</v>
      </c>
      <c r="L8" s="86">
        <v>-0.02</v>
      </c>
      <c r="M8" s="49">
        <f t="shared" ca="1" si="2"/>
        <v>395.01467973632469</v>
      </c>
      <c r="N8" s="61">
        <f t="shared" ca="1" si="3"/>
        <v>0.13188838380416426</v>
      </c>
    </row>
    <row r="9" spans="2:16" x14ac:dyDescent="0.2">
      <c r="B9" s="38">
        <v>6</v>
      </c>
      <c r="C9" s="48">
        <f ca="1">OFFSET(汇总!$B9,,MATCH($P$3,汇总!$C$3:$F$3,0))</f>
        <v>295.3678397321209</v>
      </c>
      <c r="D9" s="55">
        <f ca="1">OFFSET(汇总!$H9,,MATCH($P$3,汇总!$I$3:$L$3,0))</f>
        <v>342.57559542373167</v>
      </c>
      <c r="E9" s="78"/>
      <c r="F9" s="48">
        <f ca="1">OFFSET(汇总!$O9,,MATCH($P$3,汇总!$P$3:$S$3,0))</f>
        <v>399.32492049093162</v>
      </c>
      <c r="G9" s="61">
        <f t="shared" ca="1" si="0"/>
        <v>0.16565489727021188</v>
      </c>
      <c r="I9" s="48">
        <v>379.35867446638503</v>
      </c>
      <c r="J9" s="61">
        <f t="shared" ca="1" si="1"/>
        <v>0.10737215240670128</v>
      </c>
      <c r="L9" s="86">
        <v>-0.02</v>
      </c>
      <c r="M9" s="49">
        <f t="shared" ca="1" si="2"/>
        <v>392.47340858245695</v>
      </c>
      <c r="N9" s="61">
        <f t="shared" ca="1" si="3"/>
        <v>0.14565489727021189</v>
      </c>
    </row>
    <row r="10" spans="2:16" x14ac:dyDescent="0.2">
      <c r="B10" s="38">
        <v>7</v>
      </c>
      <c r="C10" s="48">
        <f ca="1">OFFSET(汇总!$B10,,MATCH($P$3,汇总!$C$3:$F$3,0))</f>
        <v>293.14446268240238</v>
      </c>
      <c r="D10" s="55">
        <f ca="1">OFFSET(汇总!$H10,,MATCH($P$3,汇总!$I$3:$L$3,0))</f>
        <v>341.22011555570151</v>
      </c>
      <c r="E10" s="78"/>
      <c r="F10" s="48">
        <f ca="1">OFFSET(汇总!$O10,,MATCH($P$3,汇总!$P$3:$S$3,0))</f>
        <v>397.61133026589698</v>
      </c>
      <c r="G10" s="61">
        <f t="shared" ca="1" si="0"/>
        <v>0.16526345352869454</v>
      </c>
      <c r="I10" s="48">
        <v>377.73076375260212</v>
      </c>
      <c r="J10" s="61">
        <f t="shared" ca="1" si="1"/>
        <v>0.10700028085225988</v>
      </c>
      <c r="L10" s="86">
        <v>-0.02</v>
      </c>
      <c r="M10" s="49">
        <f t="shared" ca="1" si="2"/>
        <v>390.78692795478293</v>
      </c>
      <c r="N10" s="61">
        <f t="shared" ca="1" si="3"/>
        <v>0.14526345352869455</v>
      </c>
    </row>
    <row r="11" spans="2:16" x14ac:dyDescent="0.2">
      <c r="B11" s="38">
        <v>8</v>
      </c>
      <c r="C11" s="48">
        <f ca="1">OFFSET(汇总!$B11,,MATCH($P$3,汇总!$C$3:$F$3,0))</f>
        <v>296.32350179735073</v>
      </c>
      <c r="D11" s="55">
        <f ca="1">OFFSET(汇总!$H11,,MATCH($P$3,汇总!$I$3:$L$3,0))</f>
        <v>346.99309456198819</v>
      </c>
      <c r="E11" s="78"/>
      <c r="F11" s="48">
        <f ca="1">OFFSET(汇总!$O11,,MATCH($P$3,汇总!$P$3:$S$3,0))</f>
        <v>404.23091720615304</v>
      </c>
      <c r="G11" s="61">
        <f t="shared" ca="1" si="0"/>
        <v>0.16495378017944873</v>
      </c>
      <c r="I11" s="48">
        <v>384.0193713458454</v>
      </c>
      <c r="J11" s="61">
        <f t="shared" ca="1" si="1"/>
        <v>0.10670609117047625</v>
      </c>
      <c r="L11" s="86">
        <v>-0.02</v>
      </c>
      <c r="M11" s="49">
        <f t="shared" ca="1" si="2"/>
        <v>397.29105531491331</v>
      </c>
      <c r="N11" s="61">
        <f t="shared" ca="1" si="3"/>
        <v>0.14495378017944874</v>
      </c>
    </row>
    <row r="12" spans="2:16" x14ac:dyDescent="0.2">
      <c r="B12" s="38">
        <v>9</v>
      </c>
      <c r="C12" s="48">
        <f ca="1">OFFSET(汇总!$B12,,MATCH($P$3,汇总!$C$3:$F$3,0))</f>
        <v>319.54218932094614</v>
      </c>
      <c r="D12" s="55">
        <f ca="1">OFFSET(汇总!$H12,,MATCH($P$3,汇总!$I$3:$L$3,0))</f>
        <v>373.89790719432733</v>
      </c>
      <c r="E12" s="78"/>
      <c r="F12" s="48">
        <f ca="1">OFFSET(汇总!$O12,,MATCH($P$3,汇总!$P$3:$S$3,0))</f>
        <v>439.15573530254119</v>
      </c>
      <c r="G12" s="61">
        <f t="shared" ca="1" si="0"/>
        <v>0.17453381485309349</v>
      </c>
      <c r="I12" s="48">
        <v>417.19794853741411</v>
      </c>
      <c r="J12" s="61">
        <f t="shared" ca="1" si="1"/>
        <v>0.11580712411043881</v>
      </c>
      <c r="L12" s="86">
        <v>-0.02</v>
      </c>
      <c r="M12" s="49">
        <f t="shared" ca="1" si="2"/>
        <v>431.67777715865464</v>
      </c>
      <c r="N12" s="61">
        <f t="shared" ca="1" si="3"/>
        <v>0.1545338148530935</v>
      </c>
    </row>
    <row r="13" spans="2:16" x14ac:dyDescent="0.2">
      <c r="B13" s="38">
        <v>10</v>
      </c>
      <c r="C13" s="48">
        <f ca="1">OFFSET(汇总!$B13,,MATCH($P$3,汇总!$C$3:$F$3,0))</f>
        <v>341.19573642138437</v>
      </c>
      <c r="D13" s="55">
        <f ca="1">OFFSET(汇总!$H13,,MATCH($P$3,汇总!$I$3:$L$3,0))</f>
        <v>402.88957372420936</v>
      </c>
      <c r="E13" s="78"/>
      <c r="F13" s="48">
        <f ca="1">OFFSET(汇总!$O13,,MATCH($P$3,汇总!$P$3:$S$3,0))</f>
        <v>469.00320236686991</v>
      </c>
      <c r="G13" s="61">
        <f t="shared" ca="1" si="0"/>
        <v>0.1640986338552346</v>
      </c>
      <c r="I13" s="48">
        <v>454.93310629586381</v>
      </c>
      <c r="J13" s="61">
        <f t="shared" ca="1" si="1"/>
        <v>0.12917567483957759</v>
      </c>
      <c r="L13" s="86">
        <v>-0.02</v>
      </c>
      <c r="M13" s="49">
        <f t="shared" ca="1" si="2"/>
        <v>460.94541089238578</v>
      </c>
      <c r="N13" s="61">
        <f t="shared" ca="1" si="3"/>
        <v>0.14409863385523461</v>
      </c>
    </row>
    <row r="14" spans="2:16" x14ac:dyDescent="0.2">
      <c r="B14" s="38">
        <v>11</v>
      </c>
      <c r="C14" s="48">
        <f ca="1">OFFSET(汇总!$B14,,MATCH($P$3,汇总!$C$3:$F$3,0))</f>
        <v>332.61428114176908</v>
      </c>
      <c r="D14" s="55">
        <f ca="1">OFFSET(汇总!$H14,,MATCH($P$3,汇总!$I$3:$L$3,0))</f>
        <v>397.54213071985004</v>
      </c>
      <c r="E14" s="78"/>
      <c r="F14" s="48">
        <f ca="1">OFFSET(汇总!$O14,,MATCH($P$3,汇总!$P$3:$S$3,0))</f>
        <v>467.02027048555175</v>
      </c>
      <c r="G14" s="61">
        <f t="shared" ca="1" si="0"/>
        <v>0.17476924933690441</v>
      </c>
      <c r="I14" s="48">
        <v>438.99905425641862</v>
      </c>
      <c r="J14" s="61">
        <f t="shared" ca="1" si="1"/>
        <v>0.10428309437669014</v>
      </c>
      <c r="L14" s="86">
        <v>-0.02</v>
      </c>
      <c r="M14" s="49">
        <f t="shared" ca="1" si="2"/>
        <v>459.06942787115474</v>
      </c>
      <c r="N14" s="61">
        <f t="shared" ca="1" si="3"/>
        <v>0.15476924933690442</v>
      </c>
    </row>
    <row r="15" spans="2:16" ht="15" thickBot="1" x14ac:dyDescent="0.25">
      <c r="B15" s="39">
        <v>12</v>
      </c>
      <c r="C15" s="50">
        <f ca="1">OFFSET(汇总!$B15,,MATCH($P$3,汇总!$C$3:$F$3,0))</f>
        <v>365.6480081414245</v>
      </c>
      <c r="D15" s="56">
        <f ca="1">OFFSET(汇总!$H15,,MATCH($P$3,汇总!$I$3:$L$3,0))</f>
        <v>447.93040584504536</v>
      </c>
      <c r="E15" s="78"/>
      <c r="F15" s="50">
        <f ca="1">OFFSET(汇总!$O15,,MATCH($P$3,汇总!$P$3:$S$3,0))</f>
        <v>526.21486662975894</v>
      </c>
      <c r="G15" s="83">
        <f t="shared" ca="1" si="0"/>
        <v>0.17476924933690463</v>
      </c>
      <c r="I15" s="50">
        <v>505.16627196456858</v>
      </c>
      <c r="J15" s="83">
        <f t="shared" ca="1" si="1"/>
        <v>0.12777847936342845</v>
      </c>
      <c r="L15" s="87">
        <v>-0.02</v>
      </c>
      <c r="M15" s="51">
        <f t="shared" ca="1" si="2"/>
        <v>517.25625851285804</v>
      </c>
      <c r="N15" s="83">
        <f t="shared" ca="1" si="3"/>
        <v>0.15476924933690464</v>
      </c>
    </row>
    <row r="16" spans="2:16" ht="15" thickBot="1" x14ac:dyDescent="0.25">
      <c r="B16" s="40" t="s">
        <v>41</v>
      </c>
      <c r="C16" s="52">
        <f ca="1">SUM(C4:C15)</f>
        <v>3725.6193063375085</v>
      </c>
      <c r="D16" s="57">
        <f ca="1">SUM(D4:D15)</f>
        <v>4360.4561224027566</v>
      </c>
      <c r="E16" s="33"/>
      <c r="F16" s="52">
        <f ca="1">SUM(F4:F15)</f>
        <v>5107.618619953214</v>
      </c>
      <c r="G16" s="84">
        <f t="shared" ca="1" si="0"/>
        <v>0.17134961952988204</v>
      </c>
      <c r="I16" s="52">
        <f>SUM(I4:I15)</f>
        <v>4882.4278266449328</v>
      </c>
      <c r="J16" s="84">
        <f t="shared" ca="1" si="1"/>
        <v>0.11970575774411252</v>
      </c>
      <c r="L16" s="32"/>
      <c r="M16" s="53">
        <f t="shared" ca="1" si="2"/>
        <v>5107.618619953214</v>
      </c>
      <c r="N16" s="84">
        <f t="shared" ca="1" si="3"/>
        <v>0.17134961952988204</v>
      </c>
    </row>
  </sheetData>
  <mergeCells count="5">
    <mergeCell ref="B2:B3"/>
    <mergeCell ref="C2:D2"/>
    <mergeCell ref="F2:G2"/>
    <mergeCell ref="I2:J2"/>
    <mergeCell ref="L2:N2"/>
  </mergeCells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5265EA-6422-4359-9998-567D0043C9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学习视频</vt:lpstr>
      <vt:lpstr>销售数据</vt:lpstr>
      <vt:lpstr>时间序列预测工具</vt:lpstr>
      <vt:lpstr>汇总</vt:lpstr>
      <vt:lpstr>东区</vt:lpstr>
      <vt:lpstr>南区</vt:lpstr>
      <vt:lpstr>西区</vt:lpstr>
      <vt:lpstr>北区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54339</dc:creator>
  <cp:lastModifiedBy>Administrator</cp:lastModifiedBy>
  <dcterms:created xsi:type="dcterms:W3CDTF">2018-10-18T13:37:57Z</dcterms:created>
  <dcterms:modified xsi:type="dcterms:W3CDTF">2018-11-09T04:10:41Z</dcterms:modified>
</cp:coreProperties>
</file>